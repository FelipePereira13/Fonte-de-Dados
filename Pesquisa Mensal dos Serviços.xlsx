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40009_{EBFAF9FC-9524-4AD3-877C-D2F414171246}" xr6:coauthVersionLast="36" xr6:coauthVersionMax="36" xr10:uidLastSave="{00000000-0000-0000-0000-000000000000}"/>
  <bookViews>
    <workbookView xWindow="0" yWindow="0" windowWidth="21570" windowHeight="7890"/>
  </bookViews>
  <sheets>
    <sheet name="base-pms_spbrasil" sheetId="1" r:id="rId1"/>
    <sheet name="Mês;Ano" sheetId="2" r:id="rId2"/>
    <sheet name="Planilha2" sheetId="3" r:id="rId3"/>
  </sheets>
  <definedNames>
    <definedName name="_xlnm._FilterDatabase" localSheetId="0" hidden="1">'base-pms_spbrasil'!$A$1:$E$1</definedName>
    <definedName name="_xlnm._FilterDatabase" localSheetId="2" hidden="1">Planilha2!$A$1:$D$1</definedName>
  </definedNames>
  <calcPr calcId="0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" i="2"/>
</calcChain>
</file>

<file path=xl/sharedStrings.xml><?xml version="1.0" encoding="utf-8"?>
<sst xmlns="http://schemas.openxmlformats.org/spreadsheetml/2006/main" count="8460" uniqueCount="16">
  <si>
    <t>UF</t>
  </si>
  <si>
    <t>Segmentação</t>
  </si>
  <si>
    <t>indice_atividade_servicos_com_ajuste_sazonal</t>
  </si>
  <si>
    <t>indice_atividade_servicos_sem_ajuste</t>
  </si>
  <si>
    <t>date</t>
  </si>
  <si>
    <t>Brasil</t>
  </si>
  <si>
    <t>Serviços (Total)</t>
  </si>
  <si>
    <t>Serviços prestados às famílias</t>
  </si>
  <si>
    <t>Serviços de informação e comunicação</t>
  </si>
  <si>
    <t>Serviços profissionais, administrativos e complementares</t>
  </si>
  <si>
    <t>Transportes, serviços auxiliares aos transportes e correio</t>
  </si>
  <si>
    <t>Outros serviços</t>
  </si>
  <si>
    <t>São Paulo</t>
  </si>
  <si>
    <t>Ano</t>
  </si>
  <si>
    <t>Mês</t>
  </si>
  <si>
    <t>Num_Mês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</si>
</sst>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3"/>
  <sheetViews>
    <sheetView tabSelected="1" workbookViewId="0">
      <selection activeCell="D1" sqref="D1:E1048576"/>
    </sheetView>
  </sheetViews>
  <sheetFormatPr defaultRowHeight="15" x14ac:dyDescent="0.25"/>
  <cols>
    <col min="1" max="1" width="9.5703125" bestFit="1" customWidth="1"/>
    <col min="2" max="2" width="53.140625" bestFit="1" customWidth="1"/>
    <col min="3" max="3" width="43.7109375" bestFit="1" customWidth="1"/>
    <col min="4" max="4" width="35.85546875" bestFit="1" customWidth="1"/>
    <col min="5" max="5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88.97</v>
      </c>
      <c r="D2">
        <v>84.309899999999999</v>
      </c>
      <c r="E2" s="1">
        <v>40544</v>
      </c>
    </row>
    <row r="3" spans="1:5" x14ac:dyDescent="0.25">
      <c r="A3" t="s">
        <v>5</v>
      </c>
      <c r="B3" t="s">
        <v>6</v>
      </c>
      <c r="C3">
        <v>88.76</v>
      </c>
      <c r="D3">
        <v>83.759780000000006</v>
      </c>
      <c r="E3" s="1">
        <v>40575</v>
      </c>
    </row>
    <row r="4" spans="1:5" x14ac:dyDescent="0.25">
      <c r="A4" t="s">
        <v>5</v>
      </c>
      <c r="B4" t="s">
        <v>6</v>
      </c>
      <c r="C4">
        <v>89.21</v>
      </c>
      <c r="D4">
        <v>88.040970000000002</v>
      </c>
      <c r="E4" s="1">
        <v>40603</v>
      </c>
    </row>
    <row r="5" spans="1:5" x14ac:dyDescent="0.25">
      <c r="A5" t="s">
        <v>5</v>
      </c>
      <c r="B5" t="s">
        <v>6</v>
      </c>
      <c r="C5">
        <v>89.72</v>
      </c>
      <c r="D5">
        <v>87.259249999999994</v>
      </c>
      <c r="E5" s="1">
        <v>40634</v>
      </c>
    </row>
    <row r="6" spans="1:5" x14ac:dyDescent="0.25">
      <c r="A6" t="s">
        <v>5</v>
      </c>
      <c r="B6" t="s">
        <v>6</v>
      </c>
      <c r="C6">
        <v>90.4</v>
      </c>
      <c r="D6">
        <v>90.326490000000007</v>
      </c>
      <c r="E6" s="1">
        <v>40664</v>
      </c>
    </row>
    <row r="7" spans="1:5" x14ac:dyDescent="0.25">
      <c r="A7" t="s">
        <v>5</v>
      </c>
      <c r="B7" t="s">
        <v>6</v>
      </c>
      <c r="C7">
        <v>90.42</v>
      </c>
      <c r="D7">
        <v>89.579030000000003</v>
      </c>
      <c r="E7" s="1">
        <v>40695</v>
      </c>
    </row>
    <row r="8" spans="1:5" x14ac:dyDescent="0.25">
      <c r="A8" t="s">
        <v>5</v>
      </c>
      <c r="B8" t="s">
        <v>6</v>
      </c>
      <c r="C8">
        <v>91.42</v>
      </c>
      <c r="D8">
        <v>91.216149999999999</v>
      </c>
      <c r="E8" s="1">
        <v>40725</v>
      </c>
    </row>
    <row r="9" spans="1:5" x14ac:dyDescent="0.25">
      <c r="A9" t="s">
        <v>5</v>
      </c>
      <c r="B9" t="s">
        <v>6</v>
      </c>
      <c r="C9">
        <v>91.4</v>
      </c>
      <c r="D9">
        <v>93.359560000000002</v>
      </c>
      <c r="E9" s="1">
        <v>40756</v>
      </c>
    </row>
    <row r="10" spans="1:5" x14ac:dyDescent="0.25">
      <c r="A10" t="s">
        <v>5</v>
      </c>
      <c r="B10" t="s">
        <v>6</v>
      </c>
      <c r="C10">
        <v>91.07</v>
      </c>
      <c r="D10">
        <v>91.791359999999997</v>
      </c>
      <c r="E10" s="1">
        <v>40787</v>
      </c>
    </row>
    <row r="11" spans="1:5" x14ac:dyDescent="0.25">
      <c r="A11" t="s">
        <v>5</v>
      </c>
      <c r="B11" t="s">
        <v>6</v>
      </c>
      <c r="C11">
        <v>89.96</v>
      </c>
      <c r="D11">
        <v>91.483080000000001</v>
      </c>
      <c r="E11" s="1">
        <v>40817</v>
      </c>
    </row>
    <row r="12" spans="1:5" x14ac:dyDescent="0.25">
      <c r="A12" t="s">
        <v>5</v>
      </c>
      <c r="B12" t="s">
        <v>6</v>
      </c>
      <c r="C12">
        <v>91.49</v>
      </c>
      <c r="D12">
        <v>93.147970000000001</v>
      </c>
      <c r="E12" s="1">
        <v>40848</v>
      </c>
    </row>
    <row r="13" spans="1:5" x14ac:dyDescent="0.25">
      <c r="A13" t="s">
        <v>5</v>
      </c>
      <c r="B13" t="s">
        <v>6</v>
      </c>
      <c r="C13">
        <v>92.4</v>
      </c>
      <c r="D13">
        <v>100.49500999999999</v>
      </c>
      <c r="E13" s="1">
        <v>40878</v>
      </c>
    </row>
    <row r="14" spans="1:5" x14ac:dyDescent="0.25">
      <c r="A14" t="s">
        <v>5</v>
      </c>
      <c r="B14" t="s">
        <v>6</v>
      </c>
      <c r="C14">
        <v>92.24</v>
      </c>
      <c r="D14">
        <v>88.140699999999995</v>
      </c>
      <c r="E14" s="1">
        <v>40909</v>
      </c>
    </row>
    <row r="15" spans="1:5" x14ac:dyDescent="0.25">
      <c r="A15" t="s">
        <v>5</v>
      </c>
      <c r="B15" t="s">
        <v>6</v>
      </c>
      <c r="C15">
        <v>93.35</v>
      </c>
      <c r="D15">
        <v>86.656270000000006</v>
      </c>
      <c r="E15" s="1">
        <v>40940</v>
      </c>
    </row>
    <row r="16" spans="1:5" x14ac:dyDescent="0.25">
      <c r="A16" t="s">
        <v>5</v>
      </c>
      <c r="B16" t="s">
        <v>6</v>
      </c>
      <c r="C16">
        <v>93.17</v>
      </c>
      <c r="D16">
        <v>94.173479999999998</v>
      </c>
      <c r="E16" s="1">
        <v>40969</v>
      </c>
    </row>
    <row r="17" spans="1:5" x14ac:dyDescent="0.25">
      <c r="A17" t="s">
        <v>5</v>
      </c>
      <c r="B17" t="s">
        <v>6</v>
      </c>
      <c r="C17">
        <v>92.96</v>
      </c>
      <c r="D17">
        <v>89.837360000000004</v>
      </c>
      <c r="E17" s="1">
        <v>41000</v>
      </c>
    </row>
    <row r="18" spans="1:5" x14ac:dyDescent="0.25">
      <c r="A18" t="s">
        <v>5</v>
      </c>
      <c r="B18" t="s">
        <v>6</v>
      </c>
      <c r="C18">
        <v>93.77</v>
      </c>
      <c r="D18">
        <v>94.545569999999998</v>
      </c>
      <c r="E18" s="1">
        <v>41030</v>
      </c>
    </row>
    <row r="19" spans="1:5" x14ac:dyDescent="0.25">
      <c r="A19" t="s">
        <v>5</v>
      </c>
      <c r="B19" t="s">
        <v>6</v>
      </c>
      <c r="C19">
        <v>94</v>
      </c>
      <c r="D19">
        <v>92.942890000000006</v>
      </c>
      <c r="E19" s="1">
        <v>41061</v>
      </c>
    </row>
    <row r="20" spans="1:5" x14ac:dyDescent="0.25">
      <c r="A20" t="s">
        <v>5</v>
      </c>
      <c r="B20" t="s">
        <v>6</v>
      </c>
      <c r="C20">
        <v>94.19</v>
      </c>
      <c r="D20">
        <v>94.299779999999998</v>
      </c>
      <c r="E20" s="1">
        <v>41091</v>
      </c>
    </row>
    <row r="21" spans="1:5" x14ac:dyDescent="0.25">
      <c r="A21" t="s">
        <v>5</v>
      </c>
      <c r="B21" t="s">
        <v>6</v>
      </c>
      <c r="C21">
        <v>95.33</v>
      </c>
      <c r="D21">
        <v>97.190650000000005</v>
      </c>
      <c r="E21" s="1">
        <v>41122</v>
      </c>
    </row>
    <row r="22" spans="1:5" x14ac:dyDescent="0.25">
      <c r="A22" t="s">
        <v>5</v>
      </c>
      <c r="B22" t="s">
        <v>6</v>
      </c>
      <c r="C22">
        <v>94.81</v>
      </c>
      <c r="D22">
        <v>94.263919999999999</v>
      </c>
      <c r="E22" s="1">
        <v>41153</v>
      </c>
    </row>
    <row r="23" spans="1:5" x14ac:dyDescent="0.25">
      <c r="A23" t="s">
        <v>5</v>
      </c>
      <c r="B23" t="s">
        <v>6</v>
      </c>
      <c r="C23">
        <v>95.03</v>
      </c>
      <c r="D23">
        <v>98.120699999999999</v>
      </c>
      <c r="E23" s="1">
        <v>41183</v>
      </c>
    </row>
    <row r="24" spans="1:5" x14ac:dyDescent="0.25">
      <c r="A24" t="s">
        <v>5</v>
      </c>
      <c r="B24" t="s">
        <v>6</v>
      </c>
      <c r="C24">
        <v>95.54</v>
      </c>
      <c r="D24">
        <v>96.983400000000003</v>
      </c>
      <c r="E24" s="1">
        <v>41214</v>
      </c>
    </row>
    <row r="25" spans="1:5" x14ac:dyDescent="0.25">
      <c r="A25" t="s">
        <v>5</v>
      </c>
      <c r="B25" t="s">
        <v>6</v>
      </c>
      <c r="C25">
        <v>96.78</v>
      </c>
      <c r="D25">
        <v>103.89676</v>
      </c>
      <c r="E25" s="1">
        <v>41244</v>
      </c>
    </row>
    <row r="26" spans="1:5" x14ac:dyDescent="0.25">
      <c r="A26" t="s">
        <v>5</v>
      </c>
      <c r="B26" t="s">
        <v>6</v>
      </c>
      <c r="C26">
        <v>95.83</v>
      </c>
      <c r="D26">
        <v>92.545659999999998</v>
      </c>
      <c r="E26" s="1">
        <v>41275</v>
      </c>
    </row>
    <row r="27" spans="1:5" x14ac:dyDescent="0.25">
      <c r="A27" t="s">
        <v>5</v>
      </c>
      <c r="B27" t="s">
        <v>6</v>
      </c>
      <c r="C27">
        <v>96.21</v>
      </c>
      <c r="D27">
        <v>88.618650000000002</v>
      </c>
      <c r="E27" s="1">
        <v>41306</v>
      </c>
    </row>
    <row r="28" spans="1:5" x14ac:dyDescent="0.25">
      <c r="A28" t="s">
        <v>5</v>
      </c>
      <c r="B28" t="s">
        <v>6</v>
      </c>
      <c r="C28">
        <v>96.77</v>
      </c>
      <c r="D28">
        <v>95.838880000000003</v>
      </c>
      <c r="E28" s="1">
        <v>41334</v>
      </c>
    </row>
    <row r="29" spans="1:5" x14ac:dyDescent="0.25">
      <c r="A29" t="s">
        <v>5</v>
      </c>
      <c r="B29" t="s">
        <v>6</v>
      </c>
      <c r="C29">
        <v>97.78</v>
      </c>
      <c r="D29">
        <v>96.945329999999998</v>
      </c>
      <c r="E29" s="1">
        <v>41365</v>
      </c>
    </row>
    <row r="30" spans="1:5" x14ac:dyDescent="0.25">
      <c r="A30" t="s">
        <v>5</v>
      </c>
      <c r="B30" t="s">
        <v>6</v>
      </c>
      <c r="C30">
        <v>97.44</v>
      </c>
      <c r="D30">
        <v>97.9148</v>
      </c>
      <c r="E30" s="1">
        <v>41395</v>
      </c>
    </row>
    <row r="31" spans="1:5" x14ac:dyDescent="0.25">
      <c r="A31" t="s">
        <v>5</v>
      </c>
      <c r="B31" t="s">
        <v>6</v>
      </c>
      <c r="C31">
        <v>98.63</v>
      </c>
      <c r="D31">
        <v>96.800870000000003</v>
      </c>
      <c r="E31" s="1">
        <v>41426</v>
      </c>
    </row>
    <row r="32" spans="1:5" x14ac:dyDescent="0.25">
      <c r="A32" t="s">
        <v>5</v>
      </c>
      <c r="B32" t="s">
        <v>6</v>
      </c>
      <c r="C32">
        <v>98.2</v>
      </c>
      <c r="D32">
        <v>99.277029999999996</v>
      </c>
      <c r="E32" s="1">
        <v>41456</v>
      </c>
    </row>
    <row r="33" spans="1:5" x14ac:dyDescent="0.25">
      <c r="A33" t="s">
        <v>5</v>
      </c>
      <c r="B33" t="s">
        <v>6</v>
      </c>
      <c r="C33">
        <v>97.97</v>
      </c>
      <c r="D33">
        <v>99.333730000000003</v>
      </c>
      <c r="E33" s="1">
        <v>41487</v>
      </c>
    </row>
    <row r="34" spans="1:5" x14ac:dyDescent="0.25">
      <c r="A34" t="s">
        <v>5</v>
      </c>
      <c r="B34" t="s">
        <v>6</v>
      </c>
      <c r="C34">
        <v>98.97</v>
      </c>
      <c r="D34">
        <v>98.932649999999995</v>
      </c>
      <c r="E34" s="1">
        <v>41518</v>
      </c>
    </row>
    <row r="35" spans="1:5" x14ac:dyDescent="0.25">
      <c r="A35" t="s">
        <v>5</v>
      </c>
      <c r="B35" t="s">
        <v>6</v>
      </c>
      <c r="C35">
        <v>99.3</v>
      </c>
      <c r="D35">
        <v>102.21061</v>
      </c>
      <c r="E35" s="1">
        <v>41548</v>
      </c>
    </row>
    <row r="36" spans="1:5" x14ac:dyDescent="0.25">
      <c r="A36" t="s">
        <v>5</v>
      </c>
      <c r="B36" t="s">
        <v>6</v>
      </c>
      <c r="C36">
        <v>99.99</v>
      </c>
      <c r="D36">
        <v>101.19192</v>
      </c>
      <c r="E36" s="1">
        <v>41579</v>
      </c>
    </row>
    <row r="37" spans="1:5" x14ac:dyDescent="0.25">
      <c r="A37" t="s">
        <v>5</v>
      </c>
      <c r="B37" t="s">
        <v>6</v>
      </c>
      <c r="C37">
        <v>100.09</v>
      </c>
      <c r="D37">
        <v>107.58205</v>
      </c>
      <c r="E37" s="1">
        <v>41609</v>
      </c>
    </row>
    <row r="38" spans="1:5" x14ac:dyDescent="0.25">
      <c r="A38" t="s">
        <v>5</v>
      </c>
      <c r="B38" t="s">
        <v>6</v>
      </c>
      <c r="C38">
        <v>100.86</v>
      </c>
      <c r="D38">
        <v>97.630660000000006</v>
      </c>
      <c r="E38" s="1">
        <v>41640</v>
      </c>
    </row>
    <row r="39" spans="1:5" x14ac:dyDescent="0.25">
      <c r="A39" t="s">
        <v>5</v>
      </c>
      <c r="B39" t="s">
        <v>6</v>
      </c>
      <c r="C39">
        <v>100.41</v>
      </c>
      <c r="D39">
        <v>94.77919</v>
      </c>
      <c r="E39" s="1">
        <v>41671</v>
      </c>
    </row>
    <row r="40" spans="1:5" x14ac:dyDescent="0.25">
      <c r="A40" t="s">
        <v>5</v>
      </c>
      <c r="B40" t="s">
        <v>6</v>
      </c>
      <c r="C40">
        <v>100.18</v>
      </c>
      <c r="D40">
        <v>98.554590000000005</v>
      </c>
      <c r="E40" s="1">
        <v>41699</v>
      </c>
    </row>
    <row r="41" spans="1:5" x14ac:dyDescent="0.25">
      <c r="A41" t="s">
        <v>5</v>
      </c>
      <c r="B41" t="s">
        <v>6</v>
      </c>
      <c r="C41">
        <v>100.68</v>
      </c>
      <c r="D41">
        <v>98.575109999999995</v>
      </c>
      <c r="E41" s="1">
        <v>41730</v>
      </c>
    </row>
    <row r="42" spans="1:5" x14ac:dyDescent="0.25">
      <c r="A42" t="s">
        <v>5</v>
      </c>
      <c r="B42" t="s">
        <v>6</v>
      </c>
      <c r="C42">
        <v>100.42</v>
      </c>
      <c r="D42">
        <v>100.64206</v>
      </c>
      <c r="E42" s="1">
        <v>41760</v>
      </c>
    </row>
    <row r="43" spans="1:5" x14ac:dyDescent="0.25">
      <c r="A43" t="s">
        <v>5</v>
      </c>
      <c r="B43" t="s">
        <v>6</v>
      </c>
      <c r="C43">
        <v>99.91</v>
      </c>
      <c r="D43">
        <v>98.270290000000003</v>
      </c>
      <c r="E43" s="1">
        <v>41791</v>
      </c>
    </row>
    <row r="44" spans="1:5" x14ac:dyDescent="0.25">
      <c r="A44" t="s">
        <v>5</v>
      </c>
      <c r="B44" t="s">
        <v>6</v>
      </c>
      <c r="C44">
        <v>100.37</v>
      </c>
      <c r="D44">
        <v>101.36623</v>
      </c>
      <c r="E44" s="1">
        <v>41821</v>
      </c>
    </row>
    <row r="45" spans="1:5" x14ac:dyDescent="0.25">
      <c r="A45" t="s">
        <v>5</v>
      </c>
      <c r="B45" t="s">
        <v>6</v>
      </c>
      <c r="C45">
        <v>100.16</v>
      </c>
      <c r="D45">
        <v>100.76381000000001</v>
      </c>
      <c r="E45" s="1">
        <v>41852</v>
      </c>
    </row>
    <row r="46" spans="1:5" x14ac:dyDescent="0.25">
      <c r="A46" t="s">
        <v>5</v>
      </c>
      <c r="B46" t="s">
        <v>6</v>
      </c>
      <c r="C46">
        <v>100.91</v>
      </c>
      <c r="D46">
        <v>101.9635</v>
      </c>
      <c r="E46" s="1">
        <v>41883</v>
      </c>
    </row>
    <row r="47" spans="1:5" x14ac:dyDescent="0.25">
      <c r="A47" t="s">
        <v>5</v>
      </c>
      <c r="B47" t="s">
        <v>6</v>
      </c>
      <c r="C47">
        <v>101.4</v>
      </c>
      <c r="D47">
        <v>104.23927</v>
      </c>
      <c r="E47" s="1">
        <v>41913</v>
      </c>
    </row>
    <row r="48" spans="1:5" x14ac:dyDescent="0.25">
      <c r="A48" t="s">
        <v>5</v>
      </c>
      <c r="B48" t="s">
        <v>6</v>
      </c>
      <c r="C48">
        <v>102.08</v>
      </c>
      <c r="D48">
        <v>102.23443</v>
      </c>
      <c r="E48" s="1">
        <v>41944</v>
      </c>
    </row>
    <row r="49" spans="1:5" x14ac:dyDescent="0.25">
      <c r="A49" t="s">
        <v>5</v>
      </c>
      <c r="B49" t="s">
        <v>6</v>
      </c>
      <c r="C49">
        <v>99.78</v>
      </c>
      <c r="D49">
        <v>108.13736</v>
      </c>
      <c r="E49" s="1">
        <v>41974</v>
      </c>
    </row>
    <row r="50" spans="1:5" x14ac:dyDescent="0.25">
      <c r="A50" t="s">
        <v>5</v>
      </c>
      <c r="B50" t="s">
        <v>6</v>
      </c>
      <c r="C50">
        <v>98.32</v>
      </c>
      <c r="D50">
        <v>94.603790000000004</v>
      </c>
      <c r="E50" s="1">
        <v>42005</v>
      </c>
    </row>
    <row r="51" spans="1:5" x14ac:dyDescent="0.25">
      <c r="A51" t="s">
        <v>5</v>
      </c>
      <c r="B51" t="s">
        <v>6</v>
      </c>
      <c r="C51">
        <v>98.69</v>
      </c>
      <c r="D51">
        <v>91.125579999999999</v>
      </c>
      <c r="E51" s="1">
        <v>42036</v>
      </c>
    </row>
    <row r="52" spans="1:5" x14ac:dyDescent="0.25">
      <c r="A52" t="s">
        <v>5</v>
      </c>
      <c r="B52" t="s">
        <v>6</v>
      </c>
      <c r="C52">
        <v>99.91</v>
      </c>
      <c r="D52">
        <v>100.82026999999999</v>
      </c>
      <c r="E52" s="1">
        <v>42064</v>
      </c>
    </row>
    <row r="53" spans="1:5" x14ac:dyDescent="0.25">
      <c r="A53" t="s">
        <v>5</v>
      </c>
      <c r="B53" t="s">
        <v>6</v>
      </c>
      <c r="C53">
        <v>98.27</v>
      </c>
      <c r="D53">
        <v>95.752849999999995</v>
      </c>
      <c r="E53" s="1">
        <v>42095</v>
      </c>
    </row>
    <row r="54" spans="1:5" x14ac:dyDescent="0.25">
      <c r="A54" t="s">
        <v>5</v>
      </c>
      <c r="B54" t="s">
        <v>6</v>
      </c>
      <c r="C54">
        <v>98.03</v>
      </c>
      <c r="D54">
        <v>97.48066</v>
      </c>
      <c r="E54" s="1">
        <v>42125</v>
      </c>
    </row>
    <row r="55" spans="1:5" x14ac:dyDescent="0.25">
      <c r="A55" t="s">
        <v>5</v>
      </c>
      <c r="B55" t="s">
        <v>6</v>
      </c>
      <c r="C55">
        <v>96.5</v>
      </c>
      <c r="D55">
        <v>96.081559999999996</v>
      </c>
      <c r="E55" s="1">
        <v>42156</v>
      </c>
    </row>
    <row r="56" spans="1:5" x14ac:dyDescent="0.25">
      <c r="A56" t="s">
        <v>5</v>
      </c>
      <c r="B56" t="s">
        <v>6</v>
      </c>
      <c r="C56">
        <v>95.97</v>
      </c>
      <c r="D56">
        <v>97.080740000000006</v>
      </c>
      <c r="E56" s="1">
        <v>42186</v>
      </c>
    </row>
    <row r="57" spans="1:5" x14ac:dyDescent="0.25">
      <c r="A57" t="s">
        <v>5</v>
      </c>
      <c r="B57" t="s">
        <v>6</v>
      </c>
      <c r="C57">
        <v>96.8</v>
      </c>
      <c r="D57">
        <v>97.223429999999993</v>
      </c>
      <c r="E57" s="1">
        <v>42217</v>
      </c>
    </row>
    <row r="58" spans="1:5" x14ac:dyDescent="0.25">
      <c r="A58" t="s">
        <v>5</v>
      </c>
      <c r="B58" t="s">
        <v>6</v>
      </c>
      <c r="C58">
        <v>95.84</v>
      </c>
      <c r="D58">
        <v>97.072699999999998</v>
      </c>
      <c r="E58" s="1">
        <v>42248</v>
      </c>
    </row>
    <row r="59" spans="1:5" x14ac:dyDescent="0.25">
      <c r="A59" t="s">
        <v>5</v>
      </c>
      <c r="B59" t="s">
        <v>6</v>
      </c>
      <c r="C59">
        <v>96.03</v>
      </c>
      <c r="D59">
        <v>98.164529999999999</v>
      </c>
      <c r="E59" s="1">
        <v>42278</v>
      </c>
    </row>
    <row r="60" spans="1:5" x14ac:dyDescent="0.25">
      <c r="A60" t="s">
        <v>5</v>
      </c>
      <c r="B60" t="s">
        <v>6</v>
      </c>
      <c r="C60">
        <v>95.17</v>
      </c>
      <c r="D60">
        <v>95.715459999999993</v>
      </c>
      <c r="E60" s="1">
        <v>42309</v>
      </c>
    </row>
    <row r="61" spans="1:5" x14ac:dyDescent="0.25">
      <c r="A61" t="s">
        <v>5</v>
      </c>
      <c r="B61" t="s">
        <v>6</v>
      </c>
      <c r="C61">
        <v>94.48</v>
      </c>
      <c r="D61">
        <v>102.69431</v>
      </c>
      <c r="E61" s="1">
        <v>42339</v>
      </c>
    </row>
    <row r="62" spans="1:5" x14ac:dyDescent="0.25">
      <c r="A62" t="s">
        <v>5</v>
      </c>
      <c r="B62" t="s">
        <v>6</v>
      </c>
      <c r="C62">
        <v>94.27</v>
      </c>
      <c r="D62">
        <v>89.875209999999996</v>
      </c>
      <c r="E62" s="1">
        <v>42370</v>
      </c>
    </row>
    <row r="63" spans="1:5" x14ac:dyDescent="0.25">
      <c r="A63" t="s">
        <v>5</v>
      </c>
      <c r="B63" t="s">
        <v>6</v>
      </c>
      <c r="C63">
        <v>94.42</v>
      </c>
      <c r="D63">
        <v>87.590249999999997</v>
      </c>
      <c r="E63" s="1">
        <v>42401</v>
      </c>
    </row>
    <row r="64" spans="1:5" x14ac:dyDescent="0.25">
      <c r="A64" t="s">
        <v>5</v>
      </c>
      <c r="B64" t="s">
        <v>6</v>
      </c>
      <c r="C64">
        <v>94.49</v>
      </c>
      <c r="D64">
        <v>94.868369999999999</v>
      </c>
      <c r="E64" s="1">
        <v>42430</v>
      </c>
    </row>
    <row r="65" spans="1:5" x14ac:dyDescent="0.25">
      <c r="A65" t="s">
        <v>5</v>
      </c>
      <c r="B65" t="s">
        <v>6</v>
      </c>
      <c r="C65">
        <v>92.61</v>
      </c>
      <c r="D65">
        <v>91.180019999999999</v>
      </c>
      <c r="E65" s="1">
        <v>42461</v>
      </c>
    </row>
    <row r="66" spans="1:5" x14ac:dyDescent="0.25">
      <c r="A66" t="s">
        <v>5</v>
      </c>
      <c r="B66" t="s">
        <v>6</v>
      </c>
      <c r="C66">
        <v>92.69</v>
      </c>
      <c r="D66">
        <v>91.578559999999996</v>
      </c>
      <c r="E66" s="1">
        <v>42491</v>
      </c>
    </row>
    <row r="67" spans="1:5" x14ac:dyDescent="0.25">
      <c r="A67" t="s">
        <v>5</v>
      </c>
      <c r="B67" t="s">
        <v>6</v>
      </c>
      <c r="C67">
        <v>92.31</v>
      </c>
      <c r="D67">
        <v>92.819820000000007</v>
      </c>
      <c r="E67" s="1">
        <v>42522</v>
      </c>
    </row>
    <row r="68" spans="1:5" x14ac:dyDescent="0.25">
      <c r="A68" t="s">
        <v>5</v>
      </c>
      <c r="B68" t="s">
        <v>6</v>
      </c>
      <c r="C68">
        <v>92.81</v>
      </c>
      <c r="D68">
        <v>92.749139999999997</v>
      </c>
      <c r="E68" s="1">
        <v>42552</v>
      </c>
    </row>
    <row r="69" spans="1:5" x14ac:dyDescent="0.25">
      <c r="A69" t="s">
        <v>5</v>
      </c>
      <c r="B69" t="s">
        <v>6</v>
      </c>
      <c r="C69">
        <v>91.44</v>
      </c>
      <c r="D69">
        <v>93.398920000000004</v>
      </c>
      <c r="E69" s="1">
        <v>42583</v>
      </c>
    </row>
    <row r="70" spans="1:5" x14ac:dyDescent="0.25">
      <c r="A70" t="s">
        <v>5</v>
      </c>
      <c r="B70" t="s">
        <v>6</v>
      </c>
      <c r="C70">
        <v>91.33</v>
      </c>
      <c r="D70">
        <v>92.340770000000006</v>
      </c>
      <c r="E70" s="1">
        <v>42614</v>
      </c>
    </row>
    <row r="71" spans="1:5" x14ac:dyDescent="0.25">
      <c r="A71" t="s">
        <v>5</v>
      </c>
      <c r="B71" t="s">
        <v>6</v>
      </c>
      <c r="C71">
        <v>89.63</v>
      </c>
      <c r="D71">
        <v>90.688299999999998</v>
      </c>
      <c r="E71" s="1">
        <v>42644</v>
      </c>
    </row>
    <row r="72" spans="1:5" x14ac:dyDescent="0.25">
      <c r="A72" t="s">
        <v>5</v>
      </c>
      <c r="B72" t="s">
        <v>6</v>
      </c>
      <c r="C72">
        <v>89.59</v>
      </c>
      <c r="D72">
        <v>91.290040000000005</v>
      </c>
      <c r="E72" s="1">
        <v>42675</v>
      </c>
    </row>
    <row r="73" spans="1:5" x14ac:dyDescent="0.25">
      <c r="A73" t="s">
        <v>5</v>
      </c>
      <c r="B73" t="s">
        <v>6</v>
      </c>
      <c r="C73">
        <v>88.97</v>
      </c>
      <c r="D73">
        <v>96.825640000000007</v>
      </c>
      <c r="E73" s="1">
        <v>42705</v>
      </c>
    </row>
    <row r="74" spans="1:5" x14ac:dyDescent="0.25">
      <c r="A74" t="s">
        <v>5</v>
      </c>
      <c r="B74" t="s">
        <v>6</v>
      </c>
      <c r="C74">
        <v>90.74</v>
      </c>
      <c r="D74">
        <v>86.702290000000005</v>
      </c>
      <c r="E74" s="1">
        <v>42736</v>
      </c>
    </row>
    <row r="75" spans="1:5" x14ac:dyDescent="0.25">
      <c r="A75" t="s">
        <v>5</v>
      </c>
      <c r="B75" t="s">
        <v>6</v>
      </c>
      <c r="C75">
        <v>90.61</v>
      </c>
      <c r="D75">
        <v>82.920879999999997</v>
      </c>
      <c r="E75" s="1">
        <v>42767</v>
      </c>
    </row>
    <row r="76" spans="1:5" x14ac:dyDescent="0.25">
      <c r="A76" t="s">
        <v>5</v>
      </c>
      <c r="B76" t="s">
        <v>6</v>
      </c>
      <c r="C76">
        <v>88.24</v>
      </c>
      <c r="D76">
        <v>89.890529999999998</v>
      </c>
      <c r="E76" s="1">
        <v>42795</v>
      </c>
    </row>
    <row r="77" spans="1:5" x14ac:dyDescent="0.25">
      <c r="A77" t="s">
        <v>5</v>
      </c>
      <c r="B77" t="s">
        <v>6</v>
      </c>
      <c r="C77">
        <v>89.9</v>
      </c>
      <c r="D77">
        <v>85.941890000000001</v>
      </c>
      <c r="E77" s="1">
        <v>42826</v>
      </c>
    </row>
    <row r="78" spans="1:5" x14ac:dyDescent="0.25">
      <c r="A78" t="s">
        <v>5</v>
      </c>
      <c r="B78" t="s">
        <v>6</v>
      </c>
      <c r="C78">
        <v>88.98</v>
      </c>
      <c r="D78">
        <v>89.814319999999995</v>
      </c>
      <c r="E78" s="1">
        <v>42856</v>
      </c>
    </row>
    <row r="79" spans="1:5" x14ac:dyDescent="0.25">
      <c r="A79" t="s">
        <v>5</v>
      </c>
      <c r="B79" t="s">
        <v>6</v>
      </c>
      <c r="C79">
        <v>90.22</v>
      </c>
      <c r="D79">
        <v>90.055490000000006</v>
      </c>
      <c r="E79" s="1">
        <v>42887</v>
      </c>
    </row>
    <row r="80" spans="1:5" x14ac:dyDescent="0.25">
      <c r="A80" t="s">
        <v>5</v>
      </c>
      <c r="B80" t="s">
        <v>6</v>
      </c>
      <c r="C80">
        <v>89.99</v>
      </c>
      <c r="D80">
        <v>89.754670000000004</v>
      </c>
      <c r="E80" s="1">
        <v>42917</v>
      </c>
    </row>
    <row r="81" spans="1:5" x14ac:dyDescent="0.25">
      <c r="A81" t="s">
        <v>5</v>
      </c>
      <c r="B81" t="s">
        <v>6</v>
      </c>
      <c r="C81">
        <v>89.18</v>
      </c>
      <c r="D81">
        <v>91.012429999999995</v>
      </c>
      <c r="E81" s="1">
        <v>42948</v>
      </c>
    </row>
    <row r="82" spans="1:5" x14ac:dyDescent="0.25">
      <c r="A82" t="s">
        <v>5</v>
      </c>
      <c r="B82" t="s">
        <v>6</v>
      </c>
      <c r="C82">
        <v>88.62</v>
      </c>
      <c r="D82">
        <v>89.394850000000005</v>
      </c>
      <c r="E82" s="1">
        <v>42979</v>
      </c>
    </row>
    <row r="83" spans="1:5" x14ac:dyDescent="0.25">
      <c r="A83" t="s">
        <v>5</v>
      </c>
      <c r="B83" t="s">
        <v>6</v>
      </c>
      <c r="C83">
        <v>88.89</v>
      </c>
      <c r="D83">
        <v>90.35642</v>
      </c>
      <c r="E83" s="1">
        <v>43009</v>
      </c>
    </row>
    <row r="84" spans="1:5" x14ac:dyDescent="0.25">
      <c r="A84" t="s">
        <v>5</v>
      </c>
      <c r="B84" t="s">
        <v>6</v>
      </c>
      <c r="C84">
        <v>89.14</v>
      </c>
      <c r="D84">
        <v>90.669960000000003</v>
      </c>
      <c r="E84" s="1">
        <v>43040</v>
      </c>
    </row>
    <row r="85" spans="1:5" x14ac:dyDescent="0.25">
      <c r="A85" t="s">
        <v>5</v>
      </c>
      <c r="B85" t="s">
        <v>6</v>
      </c>
      <c r="C85">
        <v>90.1</v>
      </c>
      <c r="D85">
        <v>97.366919999999993</v>
      </c>
      <c r="E85" s="1">
        <v>43070</v>
      </c>
    </row>
    <row r="86" spans="1:5" x14ac:dyDescent="0.25">
      <c r="A86" t="s">
        <v>5</v>
      </c>
      <c r="B86" t="s">
        <v>6</v>
      </c>
      <c r="C86">
        <v>88.45</v>
      </c>
      <c r="D86">
        <v>85.417519999999996</v>
      </c>
      <c r="E86" s="1">
        <v>43101</v>
      </c>
    </row>
    <row r="87" spans="1:5" x14ac:dyDescent="0.25">
      <c r="A87" t="s">
        <v>5</v>
      </c>
      <c r="B87" t="s">
        <v>6</v>
      </c>
      <c r="C87">
        <v>88.81</v>
      </c>
      <c r="D87">
        <v>81.027159999999995</v>
      </c>
      <c r="E87" s="1">
        <v>43132</v>
      </c>
    </row>
    <row r="88" spans="1:5" x14ac:dyDescent="0.25">
      <c r="A88" t="s">
        <v>5</v>
      </c>
      <c r="B88" t="s">
        <v>6</v>
      </c>
      <c r="C88">
        <v>89.39</v>
      </c>
      <c r="D88">
        <v>89.084460000000007</v>
      </c>
      <c r="E88" s="1">
        <v>43160</v>
      </c>
    </row>
    <row r="89" spans="1:5" x14ac:dyDescent="0.25">
      <c r="A89" t="s">
        <v>5</v>
      </c>
      <c r="B89" t="s">
        <v>6</v>
      </c>
      <c r="C89">
        <v>90.05</v>
      </c>
      <c r="D89">
        <v>87.678820000000002</v>
      </c>
      <c r="E89" s="1">
        <v>43191</v>
      </c>
    </row>
    <row r="90" spans="1:5" x14ac:dyDescent="0.25">
      <c r="A90" t="s">
        <v>5</v>
      </c>
      <c r="B90" t="s">
        <v>6</v>
      </c>
      <c r="C90">
        <v>85.8</v>
      </c>
      <c r="D90">
        <v>86.422470000000004</v>
      </c>
      <c r="E90" s="1">
        <v>43221</v>
      </c>
    </row>
    <row r="91" spans="1:5" x14ac:dyDescent="0.25">
      <c r="A91" t="s">
        <v>5</v>
      </c>
      <c r="B91" t="s">
        <v>6</v>
      </c>
      <c r="C91">
        <v>91.2</v>
      </c>
      <c r="D91">
        <v>90.936250000000001</v>
      </c>
      <c r="E91" s="1">
        <v>43252</v>
      </c>
    </row>
    <row r="92" spans="1:5" x14ac:dyDescent="0.25">
      <c r="A92" t="s">
        <v>5</v>
      </c>
      <c r="B92" t="s">
        <v>6</v>
      </c>
      <c r="C92">
        <v>89.34</v>
      </c>
      <c r="D92">
        <v>89.667100000000005</v>
      </c>
      <c r="E92" s="1">
        <v>43282</v>
      </c>
    </row>
    <row r="93" spans="1:5" x14ac:dyDescent="0.25">
      <c r="A93" t="s">
        <v>5</v>
      </c>
      <c r="B93" t="s">
        <v>6</v>
      </c>
      <c r="C93">
        <v>90.64</v>
      </c>
      <c r="D93">
        <v>92.527109999999993</v>
      </c>
      <c r="E93" s="1">
        <v>43313</v>
      </c>
    </row>
    <row r="94" spans="1:5" x14ac:dyDescent="0.25">
      <c r="A94" t="s">
        <v>5</v>
      </c>
      <c r="B94" t="s">
        <v>6</v>
      </c>
      <c r="C94">
        <v>90.14</v>
      </c>
      <c r="D94">
        <v>89.805970000000002</v>
      </c>
      <c r="E94" s="1">
        <v>43344</v>
      </c>
    </row>
    <row r="95" spans="1:5" x14ac:dyDescent="0.25">
      <c r="A95" t="s">
        <v>5</v>
      </c>
      <c r="B95" t="s">
        <v>6</v>
      </c>
      <c r="C95">
        <v>89.29</v>
      </c>
      <c r="D95">
        <v>91.715879999999999</v>
      </c>
      <c r="E95" s="1">
        <v>43374</v>
      </c>
    </row>
    <row r="96" spans="1:5" x14ac:dyDescent="0.25">
      <c r="A96" t="s">
        <v>5</v>
      </c>
      <c r="B96" t="s">
        <v>6</v>
      </c>
      <c r="C96">
        <v>89.66</v>
      </c>
      <c r="D96">
        <v>91.478870000000001</v>
      </c>
      <c r="E96" s="1">
        <v>43405</v>
      </c>
    </row>
    <row r="97" spans="1:5" x14ac:dyDescent="0.25">
      <c r="A97" t="s">
        <v>5</v>
      </c>
      <c r="B97" t="s">
        <v>6</v>
      </c>
      <c r="C97">
        <v>90.48</v>
      </c>
      <c r="D97">
        <v>97.757779999999997</v>
      </c>
      <c r="E97" s="1">
        <v>43435</v>
      </c>
    </row>
    <row r="98" spans="1:5" x14ac:dyDescent="0.25">
      <c r="A98" t="s">
        <v>5</v>
      </c>
      <c r="B98" t="s">
        <v>6</v>
      </c>
      <c r="C98">
        <v>90.28</v>
      </c>
      <c r="D98">
        <v>87.086119999999994</v>
      </c>
      <c r="E98" s="1">
        <v>43466</v>
      </c>
    </row>
    <row r="99" spans="1:5" x14ac:dyDescent="0.25">
      <c r="A99" t="s">
        <v>5</v>
      </c>
      <c r="B99" t="s">
        <v>6</v>
      </c>
      <c r="C99">
        <v>89.43</v>
      </c>
      <c r="D99">
        <v>84.122159999999994</v>
      </c>
      <c r="E99" s="1">
        <v>43497</v>
      </c>
    </row>
    <row r="100" spans="1:5" x14ac:dyDescent="0.25">
      <c r="A100" t="s">
        <v>5</v>
      </c>
      <c r="B100" t="s">
        <v>6</v>
      </c>
      <c r="C100">
        <v>89.45</v>
      </c>
      <c r="D100">
        <v>87.011139999999997</v>
      </c>
      <c r="E100" s="1">
        <v>43525</v>
      </c>
    </row>
    <row r="101" spans="1:5" x14ac:dyDescent="0.25">
      <c r="A101" t="s">
        <v>5</v>
      </c>
      <c r="B101" t="s">
        <v>6</v>
      </c>
      <c r="C101">
        <v>89.93</v>
      </c>
      <c r="D101">
        <v>87.078890000000001</v>
      </c>
      <c r="E101" s="1">
        <v>43556</v>
      </c>
    </row>
    <row r="102" spans="1:5" x14ac:dyDescent="0.25">
      <c r="A102" t="s">
        <v>5</v>
      </c>
      <c r="B102" t="s">
        <v>6</v>
      </c>
      <c r="C102">
        <v>90</v>
      </c>
      <c r="D102">
        <v>90.568449999999999</v>
      </c>
      <c r="E102" s="1">
        <v>43586</v>
      </c>
    </row>
    <row r="103" spans="1:5" x14ac:dyDescent="0.25">
      <c r="A103" t="s">
        <v>5</v>
      </c>
      <c r="B103" t="s">
        <v>6</v>
      </c>
      <c r="C103">
        <v>88.99</v>
      </c>
      <c r="D103">
        <v>87.731009999999998</v>
      </c>
      <c r="E103" s="1">
        <v>43617</v>
      </c>
    </row>
    <row r="104" spans="1:5" x14ac:dyDescent="0.25">
      <c r="A104" t="s">
        <v>5</v>
      </c>
      <c r="B104" t="s">
        <v>6</v>
      </c>
      <c r="C104">
        <v>90</v>
      </c>
      <c r="D104">
        <v>91.288380000000004</v>
      </c>
      <c r="E104" s="1">
        <v>43647</v>
      </c>
    </row>
    <row r="105" spans="1:5" x14ac:dyDescent="0.25">
      <c r="A105" t="s">
        <v>5</v>
      </c>
      <c r="B105" t="s">
        <v>6</v>
      </c>
      <c r="C105">
        <v>89.82</v>
      </c>
      <c r="D105">
        <v>91.318060000000003</v>
      </c>
      <c r="E105" s="1">
        <v>43678</v>
      </c>
    </row>
    <row r="106" spans="1:5" x14ac:dyDescent="0.25">
      <c r="A106" t="s">
        <v>5</v>
      </c>
      <c r="B106" t="s">
        <v>6</v>
      </c>
      <c r="C106">
        <v>91.15</v>
      </c>
      <c r="D106">
        <v>91.266270000000006</v>
      </c>
      <c r="E106" s="1">
        <v>43709</v>
      </c>
    </row>
    <row r="107" spans="1:5" x14ac:dyDescent="0.25">
      <c r="A107" t="s">
        <v>5</v>
      </c>
      <c r="B107" t="s">
        <v>6</v>
      </c>
      <c r="C107">
        <v>91.99</v>
      </c>
      <c r="D107">
        <v>94.293120000000002</v>
      </c>
      <c r="E107" s="1">
        <v>43739</v>
      </c>
    </row>
    <row r="108" spans="1:5" x14ac:dyDescent="0.25">
      <c r="A108" t="s">
        <v>5</v>
      </c>
      <c r="B108" t="s">
        <v>6</v>
      </c>
      <c r="C108">
        <v>91.42</v>
      </c>
      <c r="D108">
        <v>93.185130000000001</v>
      </c>
      <c r="E108" s="1">
        <v>43770</v>
      </c>
    </row>
    <row r="109" spans="1:5" x14ac:dyDescent="0.25">
      <c r="A109" t="s">
        <v>5</v>
      </c>
      <c r="B109" t="s">
        <v>6</v>
      </c>
      <c r="C109">
        <v>91.26</v>
      </c>
      <c r="D109">
        <v>99.249650000000003</v>
      </c>
      <c r="E109" s="1">
        <v>43800</v>
      </c>
    </row>
    <row r="110" spans="1:5" x14ac:dyDescent="0.25">
      <c r="A110" t="s">
        <v>5</v>
      </c>
      <c r="B110" t="s">
        <v>6</v>
      </c>
      <c r="C110">
        <v>91.74</v>
      </c>
      <c r="D110">
        <v>88.520160000000004</v>
      </c>
      <c r="E110" s="1">
        <v>43831</v>
      </c>
    </row>
    <row r="111" spans="1:5" x14ac:dyDescent="0.25">
      <c r="A111" t="s">
        <v>5</v>
      </c>
      <c r="B111" t="s">
        <v>6</v>
      </c>
      <c r="C111">
        <v>92.28</v>
      </c>
      <c r="D111">
        <v>84.613489999999999</v>
      </c>
      <c r="E111" s="1">
        <v>43862</v>
      </c>
    </row>
    <row r="112" spans="1:5" x14ac:dyDescent="0.25">
      <c r="A112" t="s">
        <v>5</v>
      </c>
      <c r="B112" t="s">
        <v>6</v>
      </c>
      <c r="C112">
        <v>84.12</v>
      </c>
      <c r="D112">
        <v>84.583709999999996</v>
      </c>
      <c r="E112" s="1">
        <v>43891</v>
      </c>
    </row>
    <row r="113" spans="1:5" x14ac:dyDescent="0.25">
      <c r="A113" t="s">
        <v>5</v>
      </c>
      <c r="B113" t="s">
        <v>6</v>
      </c>
      <c r="C113">
        <v>75.31</v>
      </c>
      <c r="D113">
        <v>72.049499999999995</v>
      </c>
      <c r="E113" s="1">
        <v>43922</v>
      </c>
    </row>
    <row r="114" spans="1:5" x14ac:dyDescent="0.25">
      <c r="A114" t="s">
        <v>5</v>
      </c>
      <c r="B114" t="s">
        <v>6</v>
      </c>
      <c r="C114">
        <v>73.84</v>
      </c>
      <c r="D114">
        <v>73.056449999999998</v>
      </c>
      <c r="E114" s="1">
        <v>43952</v>
      </c>
    </row>
    <row r="115" spans="1:5" x14ac:dyDescent="0.25">
      <c r="A115" t="s">
        <v>5</v>
      </c>
      <c r="B115" t="s">
        <v>6</v>
      </c>
      <c r="C115">
        <v>76.88</v>
      </c>
      <c r="D115">
        <v>77.002459999999999</v>
      </c>
      <c r="E115" s="1">
        <v>43983</v>
      </c>
    </row>
    <row r="116" spans="1:5" x14ac:dyDescent="0.25">
      <c r="A116" t="s">
        <v>5</v>
      </c>
      <c r="B116" t="s">
        <v>6</v>
      </c>
      <c r="C116">
        <v>79.06</v>
      </c>
      <c r="D116">
        <v>80.352289999999996</v>
      </c>
      <c r="E116" s="1">
        <v>44013</v>
      </c>
    </row>
    <row r="117" spans="1:5" x14ac:dyDescent="0.25">
      <c r="A117" t="s">
        <v>5</v>
      </c>
      <c r="B117" t="s">
        <v>6</v>
      </c>
      <c r="C117">
        <v>81.37</v>
      </c>
      <c r="D117">
        <v>82.156189999999995</v>
      </c>
      <c r="E117" s="1">
        <v>44044</v>
      </c>
    </row>
    <row r="118" spans="1:5" x14ac:dyDescent="0.25">
      <c r="A118" t="s">
        <v>5</v>
      </c>
      <c r="B118" t="s">
        <v>6</v>
      </c>
      <c r="C118">
        <v>83.61</v>
      </c>
      <c r="D118">
        <v>84.876850000000005</v>
      </c>
      <c r="E118" s="1">
        <v>44075</v>
      </c>
    </row>
    <row r="119" spans="1:5" x14ac:dyDescent="0.25">
      <c r="A119" t="s">
        <v>5</v>
      </c>
      <c r="B119" t="s">
        <v>6</v>
      </c>
      <c r="C119">
        <v>85.46</v>
      </c>
      <c r="D119">
        <v>87.340090000000004</v>
      </c>
      <c r="E119" s="1">
        <v>44105</v>
      </c>
    </row>
    <row r="120" spans="1:5" x14ac:dyDescent="0.25">
      <c r="A120" t="s">
        <v>5</v>
      </c>
      <c r="B120" t="s">
        <v>6</v>
      </c>
      <c r="C120">
        <v>87.32</v>
      </c>
      <c r="D120">
        <v>88.545400000000001</v>
      </c>
      <c r="E120" s="1">
        <v>44136</v>
      </c>
    </row>
    <row r="121" spans="1:5" x14ac:dyDescent="0.25">
      <c r="A121" t="s">
        <v>5</v>
      </c>
      <c r="B121" t="s">
        <v>6</v>
      </c>
      <c r="C121">
        <v>87.25</v>
      </c>
      <c r="D121">
        <v>96.178340000000006</v>
      </c>
      <c r="E121" s="1">
        <v>44166</v>
      </c>
    </row>
    <row r="122" spans="1:5" x14ac:dyDescent="0.25">
      <c r="A122" t="s">
        <v>5</v>
      </c>
      <c r="B122" t="s">
        <v>6</v>
      </c>
      <c r="C122">
        <v>88.61</v>
      </c>
      <c r="D122">
        <v>84.063479999999998</v>
      </c>
      <c r="E122" s="1">
        <v>44197</v>
      </c>
    </row>
    <row r="123" spans="1:5" x14ac:dyDescent="0.25">
      <c r="A123" t="s">
        <v>5</v>
      </c>
      <c r="B123" t="s">
        <v>6</v>
      </c>
      <c r="C123">
        <v>91.26</v>
      </c>
      <c r="D123">
        <v>83.053070000000005</v>
      </c>
      <c r="E123" s="1">
        <v>44228</v>
      </c>
    </row>
    <row r="124" spans="1:5" x14ac:dyDescent="0.25">
      <c r="A124" t="s">
        <v>5</v>
      </c>
      <c r="B124" t="s">
        <v>6</v>
      </c>
      <c r="C124">
        <v>86.99</v>
      </c>
      <c r="D124">
        <v>88.466380000000001</v>
      </c>
      <c r="E124" s="1">
        <v>44256</v>
      </c>
    </row>
    <row r="125" spans="1:5" x14ac:dyDescent="0.25">
      <c r="A125" t="s">
        <v>5</v>
      </c>
      <c r="B125" t="s">
        <v>6</v>
      </c>
      <c r="C125">
        <v>89.99</v>
      </c>
      <c r="D125">
        <v>86.555509999999998</v>
      </c>
      <c r="E125" s="1">
        <v>44287</v>
      </c>
    </row>
    <row r="126" spans="1:5" x14ac:dyDescent="0.25">
      <c r="A126" t="s">
        <v>5</v>
      </c>
      <c r="B126" t="s">
        <v>6</v>
      </c>
      <c r="C126">
        <v>91.21</v>
      </c>
      <c r="D126">
        <v>90.054400000000001</v>
      </c>
      <c r="E126" s="1">
        <v>44317</v>
      </c>
    </row>
    <row r="127" spans="1:5" x14ac:dyDescent="0.25">
      <c r="A127" t="s">
        <v>5</v>
      </c>
      <c r="B127" t="s">
        <v>6</v>
      </c>
      <c r="C127">
        <v>93.01</v>
      </c>
      <c r="D127">
        <v>93.248440000000002</v>
      </c>
      <c r="E127" s="1">
        <v>44348</v>
      </c>
    </row>
    <row r="128" spans="1:5" x14ac:dyDescent="0.25">
      <c r="A128" t="s">
        <v>5</v>
      </c>
      <c r="B128" t="s">
        <v>6</v>
      </c>
      <c r="C128">
        <v>93.65</v>
      </c>
      <c r="D128">
        <v>94.650829999999999</v>
      </c>
      <c r="E128" s="1">
        <v>44378</v>
      </c>
    </row>
    <row r="129" spans="1:5" x14ac:dyDescent="0.25">
      <c r="A129" t="s">
        <v>5</v>
      </c>
      <c r="B129" t="s">
        <v>6</v>
      </c>
      <c r="C129">
        <v>94.25</v>
      </c>
      <c r="D129">
        <v>95.771749999999997</v>
      </c>
      <c r="E129" s="1">
        <v>44409</v>
      </c>
    </row>
    <row r="130" spans="1:5" x14ac:dyDescent="0.25">
      <c r="A130" t="s">
        <v>5</v>
      </c>
      <c r="B130" t="s">
        <v>6</v>
      </c>
      <c r="C130">
        <v>93.55</v>
      </c>
      <c r="D130">
        <v>94.659689999999998</v>
      </c>
      <c r="E130" s="1">
        <v>44440</v>
      </c>
    </row>
    <row r="131" spans="1:5" x14ac:dyDescent="0.25">
      <c r="A131" t="s">
        <v>5</v>
      </c>
      <c r="B131" t="s">
        <v>6</v>
      </c>
      <c r="C131">
        <v>92.64</v>
      </c>
      <c r="D131">
        <v>93.723020000000005</v>
      </c>
      <c r="E131" s="1">
        <v>44470</v>
      </c>
    </row>
    <row r="132" spans="1:5" x14ac:dyDescent="0.25">
      <c r="A132" t="s">
        <v>5</v>
      </c>
      <c r="B132" t="s">
        <v>6</v>
      </c>
      <c r="C132">
        <v>95.32</v>
      </c>
      <c r="D132">
        <v>97.597729999999999</v>
      </c>
      <c r="E132" s="1">
        <v>44501</v>
      </c>
    </row>
    <row r="133" spans="1:5" x14ac:dyDescent="0.25">
      <c r="A133" t="s">
        <v>5</v>
      </c>
      <c r="B133" t="s">
        <v>6</v>
      </c>
      <c r="C133">
        <v>97.68</v>
      </c>
      <c r="D133">
        <v>106.68322000000001</v>
      </c>
      <c r="E133" s="1">
        <v>44531</v>
      </c>
    </row>
    <row r="134" spans="1:5" x14ac:dyDescent="0.25">
      <c r="A134" t="s">
        <v>5</v>
      </c>
      <c r="B134" t="s">
        <v>6</v>
      </c>
      <c r="C134">
        <v>96.79</v>
      </c>
      <c r="D134">
        <v>91.924570000000003</v>
      </c>
      <c r="E134" s="1">
        <v>44562</v>
      </c>
    </row>
    <row r="135" spans="1:5" x14ac:dyDescent="0.25">
      <c r="A135" t="s">
        <v>5</v>
      </c>
      <c r="B135" t="s">
        <v>6</v>
      </c>
      <c r="C135">
        <v>97.53</v>
      </c>
      <c r="D135">
        <v>89.202780000000004</v>
      </c>
      <c r="E135" s="1">
        <v>44593</v>
      </c>
    </row>
    <row r="136" spans="1:5" x14ac:dyDescent="0.25">
      <c r="A136" t="s">
        <v>5</v>
      </c>
      <c r="B136" t="s">
        <v>6</v>
      </c>
      <c r="C136">
        <v>97.3</v>
      </c>
      <c r="D136">
        <v>98.697900000000004</v>
      </c>
      <c r="E136" s="1">
        <v>44621</v>
      </c>
    </row>
    <row r="137" spans="1:5" x14ac:dyDescent="0.25">
      <c r="A137" t="s">
        <v>5</v>
      </c>
      <c r="B137" t="s">
        <v>6</v>
      </c>
      <c r="C137">
        <v>98.55</v>
      </c>
      <c r="D137">
        <v>94.672790000000006</v>
      </c>
      <c r="E137" s="1">
        <v>44652</v>
      </c>
    </row>
    <row r="138" spans="1:5" x14ac:dyDescent="0.25">
      <c r="A138" t="s">
        <v>5</v>
      </c>
      <c r="B138" t="s">
        <v>6</v>
      </c>
      <c r="C138">
        <v>99.08</v>
      </c>
      <c r="D138">
        <v>98.228949999999998</v>
      </c>
      <c r="E138" s="1">
        <v>44682</v>
      </c>
    </row>
    <row r="139" spans="1:5" x14ac:dyDescent="0.25">
      <c r="A139" t="s">
        <v>5</v>
      </c>
      <c r="B139" t="s">
        <v>6</v>
      </c>
      <c r="C139">
        <v>99.17</v>
      </c>
      <c r="D139">
        <v>99.225160000000002</v>
      </c>
      <c r="E139" s="1">
        <v>44713</v>
      </c>
    </row>
    <row r="140" spans="1:5" x14ac:dyDescent="0.25">
      <c r="A140" t="s">
        <v>5</v>
      </c>
      <c r="B140" t="s">
        <v>6</v>
      </c>
      <c r="C140">
        <v>99.95</v>
      </c>
      <c r="D140">
        <v>100.58128000000001</v>
      </c>
      <c r="E140" s="1">
        <v>44743</v>
      </c>
    </row>
    <row r="141" spans="1:5" x14ac:dyDescent="0.25">
      <c r="A141" t="s">
        <v>5</v>
      </c>
      <c r="B141" t="s">
        <v>6</v>
      </c>
      <c r="C141">
        <v>101.47</v>
      </c>
      <c r="D141">
        <v>104.10478000000001</v>
      </c>
      <c r="E141" s="1">
        <v>44774</v>
      </c>
    </row>
    <row r="142" spans="1:5" x14ac:dyDescent="0.25">
      <c r="A142" t="s">
        <v>5</v>
      </c>
      <c r="B142" t="s">
        <v>6</v>
      </c>
      <c r="C142">
        <v>102.33</v>
      </c>
      <c r="D142">
        <v>103.55595</v>
      </c>
      <c r="E142" s="1">
        <v>44805</v>
      </c>
    </row>
    <row r="143" spans="1:5" x14ac:dyDescent="0.25">
      <c r="A143" t="s">
        <v>5</v>
      </c>
      <c r="B143" t="s">
        <v>6</v>
      </c>
      <c r="C143">
        <v>102.02</v>
      </c>
      <c r="D143">
        <v>102.81034</v>
      </c>
      <c r="E143" s="1">
        <v>44835</v>
      </c>
    </row>
    <row r="144" spans="1:5" x14ac:dyDescent="0.25">
      <c r="A144" t="s">
        <v>5</v>
      </c>
      <c r="B144" t="s">
        <v>6</v>
      </c>
      <c r="C144">
        <v>101.63</v>
      </c>
      <c r="D144">
        <v>103.94298000000001</v>
      </c>
      <c r="E144" s="1">
        <v>44866</v>
      </c>
    </row>
    <row r="145" spans="1:5" x14ac:dyDescent="0.25">
      <c r="A145" t="s">
        <v>5</v>
      </c>
      <c r="B145" t="s">
        <v>6</v>
      </c>
      <c r="C145">
        <v>104.47</v>
      </c>
      <c r="D145">
        <v>113.05252</v>
      </c>
      <c r="E145" s="1">
        <v>44896</v>
      </c>
    </row>
    <row r="146" spans="1:5" x14ac:dyDescent="0.25">
      <c r="A146" t="s">
        <v>5</v>
      </c>
      <c r="B146" t="s">
        <v>6</v>
      </c>
      <c r="C146">
        <v>101.13</v>
      </c>
      <c r="D146">
        <v>96.638149999999996</v>
      </c>
      <c r="E146" s="1">
        <v>44927</v>
      </c>
    </row>
    <row r="147" spans="1:5" x14ac:dyDescent="0.25">
      <c r="A147" t="s">
        <v>5</v>
      </c>
      <c r="B147" t="s">
        <v>6</v>
      </c>
      <c r="C147">
        <v>101.8</v>
      </c>
      <c r="D147">
        <v>93.402439999999999</v>
      </c>
      <c r="E147" s="1">
        <v>44958</v>
      </c>
    </row>
    <row r="148" spans="1:5" x14ac:dyDescent="0.25">
      <c r="A148" t="s">
        <v>5</v>
      </c>
      <c r="B148" t="s">
        <v>6</v>
      </c>
      <c r="C148">
        <v>103.63</v>
      </c>
      <c r="D148">
        <v>105.08354</v>
      </c>
      <c r="E148" s="1">
        <v>44986</v>
      </c>
    </row>
    <row r="149" spans="1:5" x14ac:dyDescent="0.25">
      <c r="A149" t="s">
        <v>5</v>
      </c>
      <c r="B149" t="s">
        <v>6</v>
      </c>
      <c r="C149">
        <v>102.25</v>
      </c>
      <c r="D149">
        <v>97.248140000000006</v>
      </c>
      <c r="E149" s="1">
        <v>45017</v>
      </c>
    </row>
    <row r="150" spans="1:5" x14ac:dyDescent="0.25">
      <c r="A150" t="s">
        <v>5</v>
      </c>
      <c r="B150" t="s">
        <v>6</v>
      </c>
      <c r="C150">
        <v>103.29</v>
      </c>
      <c r="D150">
        <v>103.26822</v>
      </c>
      <c r="E150" s="1">
        <v>45047</v>
      </c>
    </row>
    <row r="151" spans="1:5" x14ac:dyDescent="0.25">
      <c r="A151" t="s">
        <v>5</v>
      </c>
      <c r="B151" t="s">
        <v>6</v>
      </c>
      <c r="C151">
        <v>103.17</v>
      </c>
      <c r="D151">
        <v>103.44944</v>
      </c>
      <c r="E151" s="1">
        <v>45078</v>
      </c>
    </row>
    <row r="152" spans="1:5" x14ac:dyDescent="0.25">
      <c r="A152" t="s">
        <v>5</v>
      </c>
      <c r="B152" t="s">
        <v>6</v>
      </c>
      <c r="C152">
        <v>103.73</v>
      </c>
      <c r="D152">
        <v>104.40512</v>
      </c>
      <c r="E152" s="1">
        <v>45108</v>
      </c>
    </row>
    <row r="153" spans="1:5" x14ac:dyDescent="0.25">
      <c r="A153" t="s">
        <v>5</v>
      </c>
      <c r="B153" t="s">
        <v>6</v>
      </c>
      <c r="C153">
        <v>103.42</v>
      </c>
      <c r="D153">
        <v>105.996</v>
      </c>
      <c r="E153" s="1">
        <v>45139</v>
      </c>
    </row>
    <row r="154" spans="1:5" x14ac:dyDescent="0.25">
      <c r="A154" t="s">
        <v>5</v>
      </c>
      <c r="B154" t="s">
        <v>6</v>
      </c>
      <c r="C154">
        <v>102.55</v>
      </c>
      <c r="D154">
        <v>103.64494000000001</v>
      </c>
      <c r="E154" s="1">
        <v>45170</v>
      </c>
    </row>
    <row r="155" spans="1:5" x14ac:dyDescent="0.25">
      <c r="A155" t="s">
        <v>5</v>
      </c>
      <c r="B155" t="s">
        <v>6</v>
      </c>
      <c r="C155">
        <v>102.6</v>
      </c>
      <c r="D155">
        <v>103.82361</v>
      </c>
      <c r="E155" s="1">
        <v>45200</v>
      </c>
    </row>
    <row r="156" spans="1:5" x14ac:dyDescent="0.25">
      <c r="A156" t="s">
        <v>5</v>
      </c>
      <c r="B156" t="s">
        <v>6</v>
      </c>
      <c r="C156">
        <v>103.85</v>
      </c>
      <c r="D156">
        <v>105.74193</v>
      </c>
      <c r="E156" s="1">
        <v>45231</v>
      </c>
    </row>
    <row r="157" spans="1:5" x14ac:dyDescent="0.25">
      <c r="A157" t="s">
        <v>5</v>
      </c>
      <c r="B157" t="s">
        <v>6</v>
      </c>
      <c r="C157">
        <v>104.24</v>
      </c>
      <c r="D157">
        <v>112.19132</v>
      </c>
      <c r="E157" s="1">
        <v>45261</v>
      </c>
    </row>
    <row r="158" spans="1:5" x14ac:dyDescent="0.25">
      <c r="A158" t="s">
        <v>5</v>
      </c>
      <c r="B158" t="s">
        <v>6</v>
      </c>
      <c r="C158">
        <v>105.3</v>
      </c>
      <c r="D158">
        <v>101.59945999999999</v>
      </c>
      <c r="E158" s="1">
        <v>45292</v>
      </c>
    </row>
    <row r="159" spans="1:5" x14ac:dyDescent="0.25">
      <c r="A159" t="s">
        <v>5</v>
      </c>
      <c r="B159" t="s">
        <v>6</v>
      </c>
      <c r="C159">
        <v>104.79</v>
      </c>
      <c r="D159">
        <v>96.957899999999995</v>
      </c>
      <c r="E159" s="1">
        <v>45323</v>
      </c>
    </row>
    <row r="160" spans="1:5" x14ac:dyDescent="0.25">
      <c r="A160" t="s">
        <v>5</v>
      </c>
      <c r="B160" t="s">
        <v>6</v>
      </c>
      <c r="C160">
        <v>105.11</v>
      </c>
      <c r="D160">
        <v>104.05418</v>
      </c>
      <c r="E160" s="1">
        <v>45352</v>
      </c>
    </row>
    <row r="161" spans="1:5" x14ac:dyDescent="0.25">
      <c r="A161" t="s">
        <v>5</v>
      </c>
      <c r="B161" t="s">
        <v>6</v>
      </c>
      <c r="C161">
        <v>105.42</v>
      </c>
      <c r="D161">
        <v>103.14603</v>
      </c>
      <c r="E161" s="1">
        <v>45383</v>
      </c>
    </row>
    <row r="162" spans="1:5" x14ac:dyDescent="0.25">
      <c r="A162" t="s">
        <v>5</v>
      </c>
      <c r="B162" t="s">
        <v>6</v>
      </c>
      <c r="C162">
        <v>104.65</v>
      </c>
      <c r="D162">
        <v>104.16661999999999</v>
      </c>
      <c r="E162" s="1">
        <v>45413</v>
      </c>
    </row>
    <row r="163" spans="1:5" x14ac:dyDescent="0.25">
      <c r="A163" t="s">
        <v>5</v>
      </c>
      <c r="B163" t="s">
        <v>6</v>
      </c>
      <c r="C163">
        <v>106.03</v>
      </c>
      <c r="D163">
        <v>105.41407</v>
      </c>
      <c r="E163" s="1">
        <v>45444</v>
      </c>
    </row>
    <row r="164" spans="1:5" x14ac:dyDescent="0.25">
      <c r="A164" t="s">
        <v>5</v>
      </c>
      <c r="B164" t="s">
        <v>6</v>
      </c>
      <c r="C164">
        <v>106.15</v>
      </c>
      <c r="D164">
        <v>108.54947</v>
      </c>
      <c r="E164" s="1">
        <v>45474</v>
      </c>
    </row>
    <row r="165" spans="1:5" x14ac:dyDescent="0.25">
      <c r="A165" t="s">
        <v>5</v>
      </c>
      <c r="B165" t="s">
        <v>6</v>
      </c>
      <c r="C165">
        <v>105.85</v>
      </c>
      <c r="D165">
        <v>107.94947000000001</v>
      </c>
      <c r="E165" s="1">
        <v>45505</v>
      </c>
    </row>
    <row r="166" spans="1:5" x14ac:dyDescent="0.25">
      <c r="A166" t="s">
        <v>5</v>
      </c>
      <c r="B166" t="s">
        <v>6</v>
      </c>
      <c r="C166">
        <v>107.12</v>
      </c>
      <c r="D166">
        <v>107.58808999999999</v>
      </c>
      <c r="E166" s="1">
        <v>45536</v>
      </c>
    </row>
    <row r="167" spans="1:5" x14ac:dyDescent="0.25">
      <c r="A167" t="s">
        <v>5</v>
      </c>
      <c r="B167" t="s">
        <v>6</v>
      </c>
      <c r="C167">
        <v>108.43</v>
      </c>
      <c r="D167">
        <v>110.41131</v>
      </c>
      <c r="E167" s="1">
        <v>45566</v>
      </c>
    </row>
    <row r="168" spans="1:5" x14ac:dyDescent="0.25">
      <c r="A168" t="s">
        <v>5</v>
      </c>
      <c r="B168" t="s">
        <v>6</v>
      </c>
      <c r="C168">
        <v>106.81</v>
      </c>
      <c r="D168">
        <v>108.43105</v>
      </c>
      <c r="E168" s="1">
        <v>45597</v>
      </c>
    </row>
    <row r="169" spans="1:5" x14ac:dyDescent="0.25">
      <c r="A169" t="s">
        <v>5</v>
      </c>
      <c r="B169" t="s">
        <v>6</v>
      </c>
      <c r="C169">
        <v>107.03</v>
      </c>
      <c r="D169">
        <v>115.38782999999999</v>
      </c>
      <c r="E169" s="1">
        <v>45627</v>
      </c>
    </row>
    <row r="170" spans="1:5" x14ac:dyDescent="0.25">
      <c r="A170" t="s">
        <v>5</v>
      </c>
      <c r="B170" t="s">
        <v>6</v>
      </c>
      <c r="C170">
        <v>106.58</v>
      </c>
      <c r="D170">
        <v>102.67429</v>
      </c>
      <c r="E170" s="1">
        <v>45658</v>
      </c>
    </row>
    <row r="171" spans="1:5" x14ac:dyDescent="0.25">
      <c r="A171" t="s">
        <v>5</v>
      </c>
      <c r="B171" t="s">
        <v>6</v>
      </c>
      <c r="C171">
        <v>107.7</v>
      </c>
      <c r="D171">
        <v>101.13556</v>
      </c>
      <c r="E171" s="1">
        <v>45689</v>
      </c>
    </row>
    <row r="172" spans="1:5" x14ac:dyDescent="0.25">
      <c r="A172" t="s">
        <v>5</v>
      </c>
      <c r="B172" t="s">
        <v>6</v>
      </c>
      <c r="C172">
        <v>107.75</v>
      </c>
      <c r="D172">
        <v>105.88565</v>
      </c>
      <c r="E172" s="1">
        <v>45717</v>
      </c>
    </row>
    <row r="173" spans="1:5" x14ac:dyDescent="0.25">
      <c r="A173" t="s">
        <v>5</v>
      </c>
      <c r="B173" t="s">
        <v>6</v>
      </c>
      <c r="C173">
        <v>108.46</v>
      </c>
      <c r="D173">
        <v>105.00353</v>
      </c>
      <c r="E173" s="1">
        <v>45748</v>
      </c>
    </row>
    <row r="174" spans="1:5" x14ac:dyDescent="0.25">
      <c r="A174" t="s">
        <v>5</v>
      </c>
      <c r="B174" t="s">
        <v>6</v>
      </c>
      <c r="C174">
        <v>108.92</v>
      </c>
      <c r="D174">
        <v>108.24518</v>
      </c>
      <c r="E174" s="1">
        <v>45778</v>
      </c>
    </row>
    <row r="175" spans="1:5" x14ac:dyDescent="0.25">
      <c r="A175" t="s">
        <v>5</v>
      </c>
      <c r="B175" t="s">
        <v>6</v>
      </c>
      <c r="C175">
        <v>109.07</v>
      </c>
      <c r="D175">
        <v>108.61254</v>
      </c>
      <c r="E175" s="1">
        <v>45809</v>
      </c>
    </row>
    <row r="176" spans="1:5" x14ac:dyDescent="0.25">
      <c r="A176" t="s">
        <v>5</v>
      </c>
      <c r="B176" t="s">
        <v>6</v>
      </c>
      <c r="C176">
        <v>109.32</v>
      </c>
      <c r="D176">
        <v>111.64846</v>
      </c>
      <c r="E176" s="1">
        <v>45839</v>
      </c>
    </row>
    <row r="177" spans="1:5" x14ac:dyDescent="0.25">
      <c r="A177" t="s">
        <v>5</v>
      </c>
      <c r="B177" t="s">
        <v>6</v>
      </c>
      <c r="C177">
        <v>109.33</v>
      </c>
      <c r="D177">
        <v>110.62871</v>
      </c>
      <c r="E177" s="1">
        <v>45870</v>
      </c>
    </row>
    <row r="178" spans="1:5" x14ac:dyDescent="0.25">
      <c r="A178" t="s">
        <v>5</v>
      </c>
      <c r="B178" t="s">
        <v>7</v>
      </c>
      <c r="C178">
        <v>111.4</v>
      </c>
      <c r="D178">
        <v>118.09254</v>
      </c>
      <c r="E178" s="1">
        <v>40544</v>
      </c>
    </row>
    <row r="179" spans="1:5" x14ac:dyDescent="0.25">
      <c r="A179" t="s">
        <v>5</v>
      </c>
      <c r="B179" t="s">
        <v>7</v>
      </c>
      <c r="C179">
        <v>113.26</v>
      </c>
      <c r="D179">
        <v>103.19315</v>
      </c>
      <c r="E179" s="1">
        <v>40575</v>
      </c>
    </row>
    <row r="180" spans="1:5" x14ac:dyDescent="0.25">
      <c r="A180" t="s">
        <v>5</v>
      </c>
      <c r="B180" t="s">
        <v>7</v>
      </c>
      <c r="C180">
        <v>114.79</v>
      </c>
      <c r="D180">
        <v>113.71661</v>
      </c>
      <c r="E180" s="1">
        <v>40603</v>
      </c>
    </row>
    <row r="181" spans="1:5" x14ac:dyDescent="0.25">
      <c r="A181" t="s">
        <v>5</v>
      </c>
      <c r="B181" t="s">
        <v>7</v>
      </c>
      <c r="C181">
        <v>116.08</v>
      </c>
      <c r="D181">
        <v>113.32889</v>
      </c>
      <c r="E181" s="1">
        <v>40634</v>
      </c>
    </row>
    <row r="182" spans="1:5" x14ac:dyDescent="0.25">
      <c r="A182" t="s">
        <v>5</v>
      </c>
      <c r="B182" t="s">
        <v>7</v>
      </c>
      <c r="C182">
        <v>115.56</v>
      </c>
      <c r="D182">
        <v>110.48551999999999</v>
      </c>
      <c r="E182" s="1">
        <v>40664</v>
      </c>
    </row>
    <row r="183" spans="1:5" x14ac:dyDescent="0.25">
      <c r="A183" t="s">
        <v>5</v>
      </c>
      <c r="B183" t="s">
        <v>7</v>
      </c>
      <c r="C183">
        <v>117.78</v>
      </c>
      <c r="D183">
        <v>110.05206</v>
      </c>
      <c r="E183" s="1">
        <v>40695</v>
      </c>
    </row>
    <row r="184" spans="1:5" x14ac:dyDescent="0.25">
      <c r="A184" t="s">
        <v>5</v>
      </c>
      <c r="B184" t="s">
        <v>7</v>
      </c>
      <c r="C184">
        <v>117.8</v>
      </c>
      <c r="D184">
        <v>119.31916</v>
      </c>
      <c r="E184" s="1">
        <v>40725</v>
      </c>
    </row>
    <row r="185" spans="1:5" x14ac:dyDescent="0.25">
      <c r="A185" t="s">
        <v>5</v>
      </c>
      <c r="B185" t="s">
        <v>7</v>
      </c>
      <c r="C185">
        <v>115.66</v>
      </c>
      <c r="D185">
        <v>114.75471</v>
      </c>
      <c r="E185" s="1">
        <v>40756</v>
      </c>
    </row>
    <row r="186" spans="1:5" x14ac:dyDescent="0.25">
      <c r="A186" t="s">
        <v>5</v>
      </c>
      <c r="B186" t="s">
        <v>7</v>
      </c>
      <c r="C186">
        <v>115.52</v>
      </c>
      <c r="D186">
        <v>112.59452</v>
      </c>
      <c r="E186" s="1">
        <v>40787</v>
      </c>
    </row>
    <row r="187" spans="1:5" x14ac:dyDescent="0.25">
      <c r="A187" t="s">
        <v>5</v>
      </c>
      <c r="B187" t="s">
        <v>7</v>
      </c>
      <c r="C187">
        <v>115.29</v>
      </c>
      <c r="D187">
        <v>117.78819</v>
      </c>
      <c r="E187" s="1">
        <v>40817</v>
      </c>
    </row>
    <row r="188" spans="1:5" x14ac:dyDescent="0.25">
      <c r="A188" t="s">
        <v>5</v>
      </c>
      <c r="B188" t="s">
        <v>7</v>
      </c>
      <c r="C188">
        <v>118.87</v>
      </c>
      <c r="D188">
        <v>121.36412</v>
      </c>
      <c r="E188" s="1">
        <v>40848</v>
      </c>
    </row>
    <row r="189" spans="1:5" x14ac:dyDescent="0.25">
      <c r="A189" t="s">
        <v>5</v>
      </c>
      <c r="B189" t="s">
        <v>7</v>
      </c>
      <c r="C189">
        <v>114.16</v>
      </c>
      <c r="D189">
        <v>130.85341</v>
      </c>
      <c r="E189" s="1">
        <v>40878</v>
      </c>
    </row>
    <row r="190" spans="1:5" x14ac:dyDescent="0.25">
      <c r="A190" t="s">
        <v>5</v>
      </c>
      <c r="B190" t="s">
        <v>7</v>
      </c>
      <c r="C190">
        <v>115.49</v>
      </c>
      <c r="D190">
        <v>122.11736000000001</v>
      </c>
      <c r="E190" s="1">
        <v>40909</v>
      </c>
    </row>
    <row r="191" spans="1:5" x14ac:dyDescent="0.25">
      <c r="A191" t="s">
        <v>5</v>
      </c>
      <c r="B191" t="s">
        <v>7</v>
      </c>
      <c r="C191">
        <v>114.23</v>
      </c>
      <c r="D191">
        <v>107.70578999999999</v>
      </c>
      <c r="E191" s="1">
        <v>40940</v>
      </c>
    </row>
    <row r="192" spans="1:5" x14ac:dyDescent="0.25">
      <c r="A192" t="s">
        <v>5</v>
      </c>
      <c r="B192" t="s">
        <v>7</v>
      </c>
      <c r="C192">
        <v>116.33</v>
      </c>
      <c r="D192">
        <v>115.69252</v>
      </c>
      <c r="E192" s="1">
        <v>40969</v>
      </c>
    </row>
    <row r="193" spans="1:5" x14ac:dyDescent="0.25">
      <c r="A193" t="s">
        <v>5</v>
      </c>
      <c r="B193" t="s">
        <v>7</v>
      </c>
      <c r="C193">
        <v>115.02</v>
      </c>
      <c r="D193">
        <v>110.80206</v>
      </c>
      <c r="E193" s="1">
        <v>41000</v>
      </c>
    </row>
    <row r="194" spans="1:5" x14ac:dyDescent="0.25">
      <c r="A194" t="s">
        <v>5</v>
      </c>
      <c r="B194" t="s">
        <v>7</v>
      </c>
      <c r="C194">
        <v>117.7</v>
      </c>
      <c r="D194">
        <v>111.66576000000001</v>
      </c>
      <c r="E194" s="1">
        <v>41030</v>
      </c>
    </row>
    <row r="195" spans="1:5" x14ac:dyDescent="0.25">
      <c r="A195" t="s">
        <v>5</v>
      </c>
      <c r="B195" t="s">
        <v>7</v>
      </c>
      <c r="C195">
        <v>116.87</v>
      </c>
      <c r="D195">
        <v>111.36542</v>
      </c>
      <c r="E195" s="1">
        <v>41061</v>
      </c>
    </row>
    <row r="196" spans="1:5" x14ac:dyDescent="0.25">
      <c r="A196" t="s">
        <v>5</v>
      </c>
      <c r="B196" t="s">
        <v>7</v>
      </c>
      <c r="C196">
        <v>115.17</v>
      </c>
      <c r="D196">
        <v>115.40539</v>
      </c>
      <c r="E196" s="1">
        <v>41091</v>
      </c>
    </row>
    <row r="197" spans="1:5" x14ac:dyDescent="0.25">
      <c r="A197" t="s">
        <v>5</v>
      </c>
      <c r="B197" t="s">
        <v>7</v>
      </c>
      <c r="C197">
        <v>116.99</v>
      </c>
      <c r="D197">
        <v>116.35603999999999</v>
      </c>
      <c r="E197" s="1">
        <v>41122</v>
      </c>
    </row>
    <row r="198" spans="1:5" x14ac:dyDescent="0.25">
      <c r="A198" t="s">
        <v>5</v>
      </c>
      <c r="B198" t="s">
        <v>7</v>
      </c>
      <c r="C198">
        <v>118.21</v>
      </c>
      <c r="D198">
        <v>114.55901</v>
      </c>
      <c r="E198" s="1">
        <v>41153</v>
      </c>
    </row>
    <row r="199" spans="1:5" x14ac:dyDescent="0.25">
      <c r="A199" t="s">
        <v>5</v>
      </c>
      <c r="B199" t="s">
        <v>7</v>
      </c>
      <c r="C199">
        <v>115.99</v>
      </c>
      <c r="D199">
        <v>118.16656999999999</v>
      </c>
      <c r="E199" s="1">
        <v>41183</v>
      </c>
    </row>
    <row r="200" spans="1:5" x14ac:dyDescent="0.25">
      <c r="A200" t="s">
        <v>5</v>
      </c>
      <c r="B200" t="s">
        <v>7</v>
      </c>
      <c r="C200">
        <v>118.7</v>
      </c>
      <c r="D200">
        <v>121.80072</v>
      </c>
      <c r="E200" s="1">
        <v>41214</v>
      </c>
    </row>
    <row r="201" spans="1:5" x14ac:dyDescent="0.25">
      <c r="A201" t="s">
        <v>5</v>
      </c>
      <c r="B201" t="s">
        <v>7</v>
      </c>
      <c r="C201">
        <v>117.27</v>
      </c>
      <c r="D201">
        <v>133.37487999999999</v>
      </c>
      <c r="E201" s="1">
        <v>41244</v>
      </c>
    </row>
    <row r="202" spans="1:5" x14ac:dyDescent="0.25">
      <c r="A202" t="s">
        <v>5</v>
      </c>
      <c r="B202" t="s">
        <v>7</v>
      </c>
      <c r="C202">
        <v>115.24</v>
      </c>
      <c r="D202">
        <v>121.75472000000001</v>
      </c>
      <c r="E202" s="1">
        <v>41275</v>
      </c>
    </row>
    <row r="203" spans="1:5" x14ac:dyDescent="0.25">
      <c r="A203" t="s">
        <v>5</v>
      </c>
      <c r="B203" t="s">
        <v>7</v>
      </c>
      <c r="C203">
        <v>113.41</v>
      </c>
      <c r="D203">
        <v>105.36019</v>
      </c>
      <c r="E203" s="1">
        <v>41306</v>
      </c>
    </row>
    <row r="204" spans="1:5" x14ac:dyDescent="0.25">
      <c r="A204" t="s">
        <v>5</v>
      </c>
      <c r="B204" t="s">
        <v>7</v>
      </c>
      <c r="C204">
        <v>116.2</v>
      </c>
      <c r="D204">
        <v>116.63112</v>
      </c>
      <c r="E204" s="1">
        <v>41334</v>
      </c>
    </row>
    <row r="205" spans="1:5" x14ac:dyDescent="0.25">
      <c r="A205" t="s">
        <v>5</v>
      </c>
      <c r="B205" t="s">
        <v>7</v>
      </c>
      <c r="C205">
        <v>117.15</v>
      </c>
      <c r="D205">
        <v>112.29174999999999</v>
      </c>
      <c r="E205" s="1">
        <v>41365</v>
      </c>
    </row>
    <row r="206" spans="1:5" x14ac:dyDescent="0.25">
      <c r="A206" t="s">
        <v>5</v>
      </c>
      <c r="B206" t="s">
        <v>7</v>
      </c>
      <c r="C206">
        <v>117.8</v>
      </c>
      <c r="D206">
        <v>112.30848</v>
      </c>
      <c r="E206" s="1">
        <v>41395</v>
      </c>
    </row>
    <row r="207" spans="1:5" x14ac:dyDescent="0.25">
      <c r="A207" t="s">
        <v>5</v>
      </c>
      <c r="B207" t="s">
        <v>7</v>
      </c>
      <c r="C207">
        <v>116.96</v>
      </c>
      <c r="D207">
        <v>110.09666</v>
      </c>
      <c r="E207" s="1">
        <v>41426</v>
      </c>
    </row>
    <row r="208" spans="1:5" x14ac:dyDescent="0.25">
      <c r="A208" t="s">
        <v>5</v>
      </c>
      <c r="B208" t="s">
        <v>7</v>
      </c>
      <c r="C208">
        <v>118.55</v>
      </c>
      <c r="D208">
        <v>118.76278000000001</v>
      </c>
      <c r="E208" s="1">
        <v>41456</v>
      </c>
    </row>
    <row r="209" spans="1:5" x14ac:dyDescent="0.25">
      <c r="A209" t="s">
        <v>5</v>
      </c>
      <c r="B209" t="s">
        <v>7</v>
      </c>
      <c r="C209">
        <v>117.9</v>
      </c>
      <c r="D209">
        <v>117.90903</v>
      </c>
      <c r="E209" s="1">
        <v>41487</v>
      </c>
    </row>
    <row r="210" spans="1:5" x14ac:dyDescent="0.25">
      <c r="A210" t="s">
        <v>5</v>
      </c>
      <c r="B210" t="s">
        <v>7</v>
      </c>
      <c r="C210">
        <v>118.15</v>
      </c>
      <c r="D210">
        <v>114.23005999999999</v>
      </c>
      <c r="E210" s="1">
        <v>41518</v>
      </c>
    </row>
    <row r="211" spans="1:5" x14ac:dyDescent="0.25">
      <c r="A211" t="s">
        <v>5</v>
      </c>
      <c r="B211" t="s">
        <v>7</v>
      </c>
      <c r="C211">
        <v>119.37</v>
      </c>
      <c r="D211">
        <v>120.63324</v>
      </c>
      <c r="E211" s="1">
        <v>41548</v>
      </c>
    </row>
    <row r="212" spans="1:5" x14ac:dyDescent="0.25">
      <c r="A212" t="s">
        <v>5</v>
      </c>
      <c r="B212" t="s">
        <v>7</v>
      </c>
      <c r="C212">
        <v>118.23</v>
      </c>
      <c r="D212">
        <v>121.7479</v>
      </c>
      <c r="E212" s="1">
        <v>41579</v>
      </c>
    </row>
    <row r="213" spans="1:5" x14ac:dyDescent="0.25">
      <c r="A213" t="s">
        <v>5</v>
      </c>
      <c r="B213" t="s">
        <v>7</v>
      </c>
      <c r="C213">
        <v>116.97</v>
      </c>
      <c r="D213">
        <v>132.78564</v>
      </c>
      <c r="E213" s="1">
        <v>41609</v>
      </c>
    </row>
    <row r="214" spans="1:5" x14ac:dyDescent="0.25">
      <c r="A214" t="s">
        <v>5</v>
      </c>
      <c r="B214" t="s">
        <v>7</v>
      </c>
      <c r="C214">
        <v>117.29</v>
      </c>
      <c r="D214">
        <v>125.74823000000001</v>
      </c>
      <c r="E214" s="1">
        <v>41640</v>
      </c>
    </row>
    <row r="215" spans="1:5" x14ac:dyDescent="0.25">
      <c r="A215" t="s">
        <v>5</v>
      </c>
      <c r="B215" t="s">
        <v>7</v>
      </c>
      <c r="C215">
        <v>117.18</v>
      </c>
      <c r="D215">
        <v>108.79476</v>
      </c>
      <c r="E215" s="1">
        <v>41671</v>
      </c>
    </row>
    <row r="216" spans="1:5" x14ac:dyDescent="0.25">
      <c r="A216" t="s">
        <v>5</v>
      </c>
      <c r="B216" t="s">
        <v>7</v>
      </c>
      <c r="C216">
        <v>116.07</v>
      </c>
      <c r="D216">
        <v>115.74303</v>
      </c>
      <c r="E216" s="1">
        <v>41699</v>
      </c>
    </row>
    <row r="217" spans="1:5" x14ac:dyDescent="0.25">
      <c r="A217" t="s">
        <v>5</v>
      </c>
      <c r="B217" t="s">
        <v>7</v>
      </c>
      <c r="C217">
        <v>116.83</v>
      </c>
      <c r="D217">
        <v>112.14489</v>
      </c>
      <c r="E217" s="1">
        <v>41730</v>
      </c>
    </row>
    <row r="218" spans="1:5" x14ac:dyDescent="0.25">
      <c r="A218" t="s">
        <v>5</v>
      </c>
      <c r="B218" t="s">
        <v>7</v>
      </c>
      <c r="C218">
        <v>118.37</v>
      </c>
      <c r="D218">
        <v>113.3066</v>
      </c>
      <c r="E218" s="1">
        <v>41760</v>
      </c>
    </row>
    <row r="219" spans="1:5" x14ac:dyDescent="0.25">
      <c r="A219" t="s">
        <v>5</v>
      </c>
      <c r="B219" t="s">
        <v>7</v>
      </c>
      <c r="C219">
        <v>112.51</v>
      </c>
      <c r="D219">
        <v>105.18505</v>
      </c>
      <c r="E219" s="1">
        <v>41791</v>
      </c>
    </row>
    <row r="220" spans="1:5" x14ac:dyDescent="0.25">
      <c r="A220" t="s">
        <v>5</v>
      </c>
      <c r="B220" t="s">
        <v>7</v>
      </c>
      <c r="C220">
        <v>110.2</v>
      </c>
      <c r="D220">
        <v>109.74503</v>
      </c>
      <c r="E220" s="1">
        <v>41821</v>
      </c>
    </row>
    <row r="221" spans="1:5" x14ac:dyDescent="0.25">
      <c r="A221" t="s">
        <v>5</v>
      </c>
      <c r="B221" t="s">
        <v>7</v>
      </c>
      <c r="C221">
        <v>115.67</v>
      </c>
      <c r="D221">
        <v>115.85093999999999</v>
      </c>
      <c r="E221" s="1">
        <v>41852</v>
      </c>
    </row>
    <row r="222" spans="1:5" x14ac:dyDescent="0.25">
      <c r="A222" t="s">
        <v>5</v>
      </c>
      <c r="B222" t="s">
        <v>7</v>
      </c>
      <c r="C222">
        <v>114.09</v>
      </c>
      <c r="D222">
        <v>110.23806</v>
      </c>
      <c r="E222" s="1">
        <v>41883</v>
      </c>
    </row>
    <row r="223" spans="1:5" x14ac:dyDescent="0.25">
      <c r="A223" t="s">
        <v>5</v>
      </c>
      <c r="B223" t="s">
        <v>7</v>
      </c>
      <c r="C223">
        <v>114.1</v>
      </c>
      <c r="D223">
        <v>116.49804</v>
      </c>
      <c r="E223" s="1">
        <v>41913</v>
      </c>
    </row>
    <row r="224" spans="1:5" x14ac:dyDescent="0.25">
      <c r="A224" t="s">
        <v>5</v>
      </c>
      <c r="B224" t="s">
        <v>7</v>
      </c>
      <c r="C224">
        <v>113.71</v>
      </c>
      <c r="D224">
        <v>115.31662</v>
      </c>
      <c r="E224" s="1">
        <v>41944</v>
      </c>
    </row>
    <row r="225" spans="1:5" x14ac:dyDescent="0.25">
      <c r="A225" t="s">
        <v>5</v>
      </c>
      <c r="B225" t="s">
        <v>7</v>
      </c>
      <c r="C225">
        <v>115.21</v>
      </c>
      <c r="D225">
        <v>130.87142</v>
      </c>
      <c r="E225" s="1">
        <v>41974</v>
      </c>
    </row>
    <row r="226" spans="1:5" x14ac:dyDescent="0.25">
      <c r="A226" t="s">
        <v>5</v>
      </c>
      <c r="B226" t="s">
        <v>7</v>
      </c>
      <c r="C226">
        <v>113.69</v>
      </c>
      <c r="D226">
        <v>123.54358000000001</v>
      </c>
      <c r="E226" s="1">
        <v>42005</v>
      </c>
    </row>
    <row r="227" spans="1:5" x14ac:dyDescent="0.25">
      <c r="A227" t="s">
        <v>5</v>
      </c>
      <c r="B227" t="s">
        <v>7</v>
      </c>
      <c r="C227">
        <v>112.93</v>
      </c>
      <c r="D227">
        <v>105.96728</v>
      </c>
      <c r="E227" s="1">
        <v>42036</v>
      </c>
    </row>
    <row r="228" spans="1:5" x14ac:dyDescent="0.25">
      <c r="A228" t="s">
        <v>5</v>
      </c>
      <c r="B228" t="s">
        <v>7</v>
      </c>
      <c r="C228">
        <v>110.97</v>
      </c>
      <c r="D228">
        <v>109.39818</v>
      </c>
      <c r="E228" s="1">
        <v>42064</v>
      </c>
    </row>
    <row r="229" spans="1:5" x14ac:dyDescent="0.25">
      <c r="A229" t="s">
        <v>5</v>
      </c>
      <c r="B229" t="s">
        <v>7</v>
      </c>
      <c r="C229">
        <v>109.91</v>
      </c>
      <c r="D229">
        <v>104.60016</v>
      </c>
      <c r="E229" s="1">
        <v>42095</v>
      </c>
    </row>
    <row r="230" spans="1:5" x14ac:dyDescent="0.25">
      <c r="A230" t="s">
        <v>5</v>
      </c>
      <c r="B230" t="s">
        <v>7</v>
      </c>
      <c r="C230">
        <v>108.3</v>
      </c>
      <c r="D230">
        <v>103.11359</v>
      </c>
      <c r="E230" s="1">
        <v>42125</v>
      </c>
    </row>
    <row r="231" spans="1:5" x14ac:dyDescent="0.25">
      <c r="A231" t="s">
        <v>5</v>
      </c>
      <c r="B231" t="s">
        <v>7</v>
      </c>
      <c r="C231">
        <v>109.73</v>
      </c>
      <c r="D231">
        <v>102.48842999999999</v>
      </c>
      <c r="E231" s="1">
        <v>42156</v>
      </c>
    </row>
    <row r="232" spans="1:5" x14ac:dyDescent="0.25">
      <c r="A232" t="s">
        <v>5</v>
      </c>
      <c r="B232" t="s">
        <v>7</v>
      </c>
      <c r="C232">
        <v>106.56</v>
      </c>
      <c r="D232">
        <v>107.6793</v>
      </c>
      <c r="E232" s="1">
        <v>42186</v>
      </c>
    </row>
    <row r="233" spans="1:5" x14ac:dyDescent="0.25">
      <c r="A233" t="s">
        <v>5</v>
      </c>
      <c r="B233" t="s">
        <v>7</v>
      </c>
      <c r="C233">
        <v>106.98</v>
      </c>
      <c r="D233">
        <v>106.3361</v>
      </c>
      <c r="E233" s="1">
        <v>42217</v>
      </c>
    </row>
    <row r="234" spans="1:5" x14ac:dyDescent="0.25">
      <c r="A234" t="s">
        <v>5</v>
      </c>
      <c r="B234" t="s">
        <v>7</v>
      </c>
      <c r="C234">
        <v>107.34</v>
      </c>
      <c r="D234">
        <v>102.87859</v>
      </c>
      <c r="E234" s="1">
        <v>42248</v>
      </c>
    </row>
    <row r="235" spans="1:5" x14ac:dyDescent="0.25">
      <c r="A235" t="s">
        <v>5</v>
      </c>
      <c r="B235" t="s">
        <v>7</v>
      </c>
      <c r="C235">
        <v>108.13</v>
      </c>
      <c r="D235">
        <v>110.93342</v>
      </c>
      <c r="E235" s="1">
        <v>42278</v>
      </c>
    </row>
    <row r="236" spans="1:5" x14ac:dyDescent="0.25">
      <c r="A236" t="s">
        <v>5</v>
      </c>
      <c r="B236" t="s">
        <v>7</v>
      </c>
      <c r="C236">
        <v>106.59</v>
      </c>
      <c r="D236">
        <v>107.75362</v>
      </c>
      <c r="E236" s="1">
        <v>42309</v>
      </c>
    </row>
    <row r="237" spans="1:5" x14ac:dyDescent="0.25">
      <c r="A237" t="s">
        <v>5</v>
      </c>
      <c r="B237" t="s">
        <v>7</v>
      </c>
      <c r="C237">
        <v>106.84</v>
      </c>
      <c r="D237">
        <v>121.32942</v>
      </c>
      <c r="E237" s="1">
        <v>42339</v>
      </c>
    </row>
    <row r="238" spans="1:5" x14ac:dyDescent="0.25">
      <c r="A238" t="s">
        <v>5</v>
      </c>
      <c r="B238" t="s">
        <v>7</v>
      </c>
      <c r="C238">
        <v>107.78</v>
      </c>
      <c r="D238">
        <v>118.42319000000001</v>
      </c>
      <c r="E238" s="1">
        <v>42370</v>
      </c>
    </row>
    <row r="239" spans="1:5" x14ac:dyDescent="0.25">
      <c r="A239" t="s">
        <v>5</v>
      </c>
      <c r="B239" t="s">
        <v>7</v>
      </c>
      <c r="C239">
        <v>108.77</v>
      </c>
      <c r="D239">
        <v>104.52594999999999</v>
      </c>
      <c r="E239" s="1">
        <v>42401</v>
      </c>
    </row>
    <row r="240" spans="1:5" x14ac:dyDescent="0.25">
      <c r="A240" t="s">
        <v>5</v>
      </c>
      <c r="B240" t="s">
        <v>7</v>
      </c>
      <c r="C240">
        <v>106.6</v>
      </c>
      <c r="D240">
        <v>105.2465</v>
      </c>
      <c r="E240" s="1">
        <v>42430</v>
      </c>
    </row>
    <row r="241" spans="1:5" x14ac:dyDescent="0.25">
      <c r="A241" t="s">
        <v>5</v>
      </c>
      <c r="B241" t="s">
        <v>7</v>
      </c>
      <c r="C241">
        <v>105.49</v>
      </c>
      <c r="D241">
        <v>101.41495999999999</v>
      </c>
      <c r="E241" s="1">
        <v>42461</v>
      </c>
    </row>
    <row r="242" spans="1:5" x14ac:dyDescent="0.25">
      <c r="A242" t="s">
        <v>5</v>
      </c>
      <c r="B242" t="s">
        <v>7</v>
      </c>
      <c r="C242">
        <v>103.31</v>
      </c>
      <c r="D242">
        <v>95.894480000000001</v>
      </c>
      <c r="E242" s="1">
        <v>42491</v>
      </c>
    </row>
    <row r="243" spans="1:5" x14ac:dyDescent="0.25">
      <c r="A243" t="s">
        <v>5</v>
      </c>
      <c r="B243" t="s">
        <v>7</v>
      </c>
      <c r="C243">
        <v>102.14</v>
      </c>
      <c r="D243">
        <v>94.816609999999997</v>
      </c>
      <c r="E243" s="1">
        <v>42522</v>
      </c>
    </row>
    <row r="244" spans="1:5" x14ac:dyDescent="0.25">
      <c r="A244" t="s">
        <v>5</v>
      </c>
      <c r="B244" t="s">
        <v>7</v>
      </c>
      <c r="C244">
        <v>102.74</v>
      </c>
      <c r="D244">
        <v>105.31361</v>
      </c>
      <c r="E244" s="1">
        <v>42552</v>
      </c>
    </row>
    <row r="245" spans="1:5" x14ac:dyDescent="0.25">
      <c r="A245" t="s">
        <v>5</v>
      </c>
      <c r="B245" t="s">
        <v>7</v>
      </c>
      <c r="C245">
        <v>103.21</v>
      </c>
      <c r="D245">
        <v>101.9491</v>
      </c>
      <c r="E245" s="1">
        <v>42583</v>
      </c>
    </row>
    <row r="246" spans="1:5" x14ac:dyDescent="0.25">
      <c r="A246" t="s">
        <v>5</v>
      </c>
      <c r="B246" t="s">
        <v>7</v>
      </c>
      <c r="C246">
        <v>100.45</v>
      </c>
      <c r="D246">
        <v>97.003309999999999</v>
      </c>
      <c r="E246" s="1">
        <v>42614</v>
      </c>
    </row>
    <row r="247" spans="1:5" x14ac:dyDescent="0.25">
      <c r="A247" t="s">
        <v>5</v>
      </c>
      <c r="B247" t="s">
        <v>7</v>
      </c>
      <c r="C247">
        <v>101.15</v>
      </c>
      <c r="D247">
        <v>103.41034999999999</v>
      </c>
      <c r="E247" s="1">
        <v>42644</v>
      </c>
    </row>
    <row r="248" spans="1:5" x14ac:dyDescent="0.25">
      <c r="A248" t="s">
        <v>5</v>
      </c>
      <c r="B248" t="s">
        <v>7</v>
      </c>
      <c r="C248">
        <v>101.04</v>
      </c>
      <c r="D248">
        <v>101.67032</v>
      </c>
      <c r="E248" s="1">
        <v>42675</v>
      </c>
    </row>
    <row r="249" spans="1:5" x14ac:dyDescent="0.25">
      <c r="A249" t="s">
        <v>5</v>
      </c>
      <c r="B249" t="s">
        <v>7</v>
      </c>
      <c r="C249">
        <v>104</v>
      </c>
      <c r="D249">
        <v>119.46545</v>
      </c>
      <c r="E249" s="1">
        <v>42705</v>
      </c>
    </row>
    <row r="250" spans="1:5" x14ac:dyDescent="0.25">
      <c r="A250" t="s">
        <v>5</v>
      </c>
      <c r="B250" t="s">
        <v>7</v>
      </c>
      <c r="C250">
        <v>103.94</v>
      </c>
      <c r="D250">
        <v>113.73218</v>
      </c>
      <c r="E250" s="1">
        <v>42736</v>
      </c>
    </row>
    <row r="251" spans="1:5" x14ac:dyDescent="0.25">
      <c r="A251" t="s">
        <v>5</v>
      </c>
      <c r="B251" t="s">
        <v>7</v>
      </c>
      <c r="C251">
        <v>104.59</v>
      </c>
      <c r="D251">
        <v>97.497630000000001</v>
      </c>
      <c r="E251" s="1">
        <v>42767</v>
      </c>
    </row>
    <row r="252" spans="1:5" x14ac:dyDescent="0.25">
      <c r="A252" t="s">
        <v>5</v>
      </c>
      <c r="B252" t="s">
        <v>7</v>
      </c>
      <c r="C252">
        <v>102.79</v>
      </c>
      <c r="D252">
        <v>101.99355</v>
      </c>
      <c r="E252" s="1">
        <v>42795</v>
      </c>
    </row>
    <row r="253" spans="1:5" x14ac:dyDescent="0.25">
      <c r="A253" t="s">
        <v>5</v>
      </c>
      <c r="B253" t="s">
        <v>7</v>
      </c>
      <c r="C253">
        <v>102.73</v>
      </c>
      <c r="D253">
        <v>98.061329999999998</v>
      </c>
      <c r="E253" s="1">
        <v>42826</v>
      </c>
    </row>
    <row r="254" spans="1:5" x14ac:dyDescent="0.25">
      <c r="A254" t="s">
        <v>5</v>
      </c>
      <c r="B254" t="s">
        <v>7</v>
      </c>
      <c r="C254">
        <v>103.63</v>
      </c>
      <c r="D254">
        <v>97.454939999999993</v>
      </c>
      <c r="E254" s="1">
        <v>42856</v>
      </c>
    </row>
    <row r="255" spans="1:5" x14ac:dyDescent="0.25">
      <c r="A255" t="s">
        <v>5</v>
      </c>
      <c r="B255" t="s">
        <v>7</v>
      </c>
      <c r="C255">
        <v>105.7</v>
      </c>
      <c r="D255">
        <v>98.772649999999999</v>
      </c>
      <c r="E255" s="1">
        <v>42887</v>
      </c>
    </row>
    <row r="256" spans="1:5" x14ac:dyDescent="0.25">
      <c r="A256" t="s">
        <v>5</v>
      </c>
      <c r="B256" t="s">
        <v>7</v>
      </c>
      <c r="C256">
        <v>104.51</v>
      </c>
      <c r="D256">
        <v>106.91758</v>
      </c>
      <c r="E256" s="1">
        <v>42917</v>
      </c>
    </row>
    <row r="257" spans="1:5" x14ac:dyDescent="0.25">
      <c r="A257" t="s">
        <v>5</v>
      </c>
      <c r="B257" t="s">
        <v>7</v>
      </c>
      <c r="C257">
        <v>100.22</v>
      </c>
      <c r="D257">
        <v>97.651079999999993</v>
      </c>
      <c r="E257" s="1">
        <v>42948</v>
      </c>
    </row>
    <row r="258" spans="1:5" x14ac:dyDescent="0.25">
      <c r="A258" t="s">
        <v>5</v>
      </c>
      <c r="B258" t="s">
        <v>7</v>
      </c>
      <c r="C258">
        <v>103.67</v>
      </c>
      <c r="D258">
        <v>101.44222000000001</v>
      </c>
      <c r="E258" s="1">
        <v>42979</v>
      </c>
    </row>
    <row r="259" spans="1:5" x14ac:dyDescent="0.25">
      <c r="A259" t="s">
        <v>5</v>
      </c>
      <c r="B259" t="s">
        <v>7</v>
      </c>
      <c r="C259">
        <v>101.77</v>
      </c>
      <c r="D259">
        <v>103.83502</v>
      </c>
      <c r="E259" s="1">
        <v>43009</v>
      </c>
    </row>
    <row r="260" spans="1:5" x14ac:dyDescent="0.25">
      <c r="A260" t="s">
        <v>5</v>
      </c>
      <c r="B260" t="s">
        <v>7</v>
      </c>
      <c r="C260">
        <v>103.06</v>
      </c>
      <c r="D260">
        <v>103.16011</v>
      </c>
      <c r="E260" s="1">
        <v>43040</v>
      </c>
    </row>
    <row r="261" spans="1:5" x14ac:dyDescent="0.25">
      <c r="A261" t="s">
        <v>5</v>
      </c>
      <c r="B261" t="s">
        <v>7</v>
      </c>
      <c r="C261">
        <v>100.3</v>
      </c>
      <c r="D261">
        <v>115.25369999999999</v>
      </c>
      <c r="E261" s="1">
        <v>43070</v>
      </c>
    </row>
    <row r="262" spans="1:5" x14ac:dyDescent="0.25">
      <c r="A262" t="s">
        <v>5</v>
      </c>
      <c r="B262" t="s">
        <v>7</v>
      </c>
      <c r="C262">
        <v>100.56</v>
      </c>
      <c r="D262">
        <v>110.35372</v>
      </c>
      <c r="E262" s="1">
        <v>43101</v>
      </c>
    </row>
    <row r="263" spans="1:5" x14ac:dyDescent="0.25">
      <c r="A263" t="s">
        <v>5</v>
      </c>
      <c r="B263" t="s">
        <v>7</v>
      </c>
      <c r="C263">
        <v>99.94</v>
      </c>
      <c r="D263">
        <v>92.435900000000004</v>
      </c>
      <c r="E263" s="1">
        <v>43132</v>
      </c>
    </row>
    <row r="264" spans="1:5" x14ac:dyDescent="0.25">
      <c r="A264" t="s">
        <v>5</v>
      </c>
      <c r="B264" t="s">
        <v>7</v>
      </c>
      <c r="C264">
        <v>102.3</v>
      </c>
      <c r="D264">
        <v>102.99281999999999</v>
      </c>
      <c r="E264" s="1">
        <v>43160</v>
      </c>
    </row>
    <row r="265" spans="1:5" x14ac:dyDescent="0.25">
      <c r="A265" t="s">
        <v>5</v>
      </c>
      <c r="B265" t="s">
        <v>7</v>
      </c>
      <c r="C265">
        <v>104.69</v>
      </c>
      <c r="D265">
        <v>99.100430000000003</v>
      </c>
      <c r="E265" s="1">
        <v>43191</v>
      </c>
    </row>
    <row r="266" spans="1:5" x14ac:dyDescent="0.25">
      <c r="A266" t="s">
        <v>5</v>
      </c>
      <c r="B266" t="s">
        <v>7</v>
      </c>
      <c r="C266">
        <v>102.5</v>
      </c>
      <c r="D266">
        <v>95.927080000000004</v>
      </c>
      <c r="E266" s="1">
        <v>43221</v>
      </c>
    </row>
    <row r="267" spans="1:5" x14ac:dyDescent="0.25">
      <c r="A267" t="s">
        <v>5</v>
      </c>
      <c r="B267" t="s">
        <v>7</v>
      </c>
      <c r="C267">
        <v>100.65</v>
      </c>
      <c r="D267">
        <v>94.652159999999995</v>
      </c>
      <c r="E267" s="1">
        <v>43252</v>
      </c>
    </row>
    <row r="268" spans="1:5" x14ac:dyDescent="0.25">
      <c r="A268" t="s">
        <v>5</v>
      </c>
      <c r="B268" t="s">
        <v>7</v>
      </c>
      <c r="C268">
        <v>104.18</v>
      </c>
      <c r="D268">
        <v>106.76802000000001</v>
      </c>
      <c r="E268" s="1">
        <v>43282</v>
      </c>
    </row>
    <row r="269" spans="1:5" x14ac:dyDescent="0.25">
      <c r="A269" t="s">
        <v>5</v>
      </c>
      <c r="B269" t="s">
        <v>7</v>
      </c>
      <c r="C269">
        <v>104.47</v>
      </c>
      <c r="D269">
        <v>102.4285</v>
      </c>
      <c r="E269" s="1">
        <v>43313</v>
      </c>
    </row>
    <row r="270" spans="1:5" x14ac:dyDescent="0.25">
      <c r="A270" t="s">
        <v>5</v>
      </c>
      <c r="B270" t="s">
        <v>7</v>
      </c>
      <c r="C270">
        <v>105.09</v>
      </c>
      <c r="D270">
        <v>101.91924</v>
      </c>
      <c r="E270" s="1">
        <v>43344</v>
      </c>
    </row>
    <row r="271" spans="1:5" x14ac:dyDescent="0.25">
      <c r="A271" t="s">
        <v>5</v>
      </c>
      <c r="B271" t="s">
        <v>7</v>
      </c>
      <c r="C271">
        <v>103.31</v>
      </c>
      <c r="D271">
        <v>105.93432</v>
      </c>
      <c r="E271" s="1">
        <v>43374</v>
      </c>
    </row>
    <row r="272" spans="1:5" x14ac:dyDescent="0.25">
      <c r="A272" t="s">
        <v>5</v>
      </c>
      <c r="B272" t="s">
        <v>7</v>
      </c>
      <c r="C272">
        <v>104.62</v>
      </c>
      <c r="D272">
        <v>106.41142000000001</v>
      </c>
      <c r="E272" s="1">
        <v>43405</v>
      </c>
    </row>
    <row r="273" spans="1:5" x14ac:dyDescent="0.25">
      <c r="A273" t="s">
        <v>5</v>
      </c>
      <c r="B273" t="s">
        <v>7</v>
      </c>
      <c r="C273">
        <v>105.47</v>
      </c>
      <c r="D273">
        <v>118.83277</v>
      </c>
      <c r="E273" s="1">
        <v>43435</v>
      </c>
    </row>
    <row r="274" spans="1:5" x14ac:dyDescent="0.25">
      <c r="A274" t="s">
        <v>5</v>
      </c>
      <c r="B274" t="s">
        <v>7</v>
      </c>
      <c r="C274">
        <v>106.71</v>
      </c>
      <c r="D274">
        <v>115.16343999999999</v>
      </c>
      <c r="E274" s="1">
        <v>43466</v>
      </c>
    </row>
    <row r="275" spans="1:5" x14ac:dyDescent="0.25">
      <c r="A275" t="s">
        <v>5</v>
      </c>
      <c r="B275" t="s">
        <v>7</v>
      </c>
      <c r="C275">
        <v>106.07</v>
      </c>
      <c r="D275">
        <v>96.612700000000004</v>
      </c>
      <c r="E275" s="1">
        <v>43497</v>
      </c>
    </row>
    <row r="276" spans="1:5" x14ac:dyDescent="0.25">
      <c r="A276" t="s">
        <v>5</v>
      </c>
      <c r="B276" t="s">
        <v>7</v>
      </c>
      <c r="C276">
        <v>106.34</v>
      </c>
      <c r="D276">
        <v>107.72149</v>
      </c>
      <c r="E276" s="1">
        <v>43525</v>
      </c>
    </row>
    <row r="277" spans="1:5" x14ac:dyDescent="0.25">
      <c r="A277" t="s">
        <v>5</v>
      </c>
      <c r="B277" t="s">
        <v>7</v>
      </c>
      <c r="C277">
        <v>107.04</v>
      </c>
      <c r="D277">
        <v>102.67699</v>
      </c>
      <c r="E277" s="1">
        <v>43556</v>
      </c>
    </row>
    <row r="278" spans="1:5" x14ac:dyDescent="0.25">
      <c r="A278" t="s">
        <v>5</v>
      </c>
      <c r="B278" t="s">
        <v>7</v>
      </c>
      <c r="C278">
        <v>106.87</v>
      </c>
      <c r="D278">
        <v>102.04552</v>
      </c>
      <c r="E278" s="1">
        <v>43586</v>
      </c>
    </row>
    <row r="279" spans="1:5" x14ac:dyDescent="0.25">
      <c r="A279" t="s">
        <v>5</v>
      </c>
      <c r="B279" t="s">
        <v>7</v>
      </c>
      <c r="C279">
        <v>107.53</v>
      </c>
      <c r="D279">
        <v>100.03556</v>
      </c>
      <c r="E279" s="1">
        <v>43617</v>
      </c>
    </row>
    <row r="280" spans="1:5" x14ac:dyDescent="0.25">
      <c r="A280" t="s">
        <v>5</v>
      </c>
      <c r="B280" t="s">
        <v>7</v>
      </c>
      <c r="C280">
        <v>106.81</v>
      </c>
      <c r="D280">
        <v>109.82455</v>
      </c>
      <c r="E280" s="1">
        <v>43647</v>
      </c>
    </row>
    <row r="281" spans="1:5" x14ac:dyDescent="0.25">
      <c r="A281" t="s">
        <v>5</v>
      </c>
      <c r="B281" t="s">
        <v>7</v>
      </c>
      <c r="C281">
        <v>105.21</v>
      </c>
      <c r="D281">
        <v>103.31196</v>
      </c>
      <c r="E281" s="1">
        <v>43678</v>
      </c>
    </row>
    <row r="282" spans="1:5" x14ac:dyDescent="0.25">
      <c r="A282" t="s">
        <v>5</v>
      </c>
      <c r="B282" t="s">
        <v>7</v>
      </c>
      <c r="C282">
        <v>104.46</v>
      </c>
      <c r="D282">
        <v>101.78789</v>
      </c>
      <c r="E282" s="1">
        <v>43709</v>
      </c>
    </row>
    <row r="283" spans="1:5" x14ac:dyDescent="0.25">
      <c r="A283" t="s">
        <v>5</v>
      </c>
      <c r="B283" t="s">
        <v>7</v>
      </c>
      <c r="C283">
        <v>106.46</v>
      </c>
      <c r="D283">
        <v>108.65271</v>
      </c>
      <c r="E283" s="1">
        <v>43739</v>
      </c>
    </row>
    <row r="284" spans="1:5" x14ac:dyDescent="0.25">
      <c r="A284" t="s">
        <v>5</v>
      </c>
      <c r="B284" t="s">
        <v>7</v>
      </c>
      <c r="C284">
        <v>104.28</v>
      </c>
      <c r="D284">
        <v>107.27664</v>
      </c>
      <c r="E284" s="1">
        <v>43770</v>
      </c>
    </row>
    <row r="285" spans="1:5" x14ac:dyDescent="0.25">
      <c r="A285" t="s">
        <v>5</v>
      </c>
      <c r="B285" t="s">
        <v>7</v>
      </c>
      <c r="C285">
        <v>104.33</v>
      </c>
      <c r="D285">
        <v>116.90098</v>
      </c>
      <c r="E285" s="1">
        <v>43800</v>
      </c>
    </row>
    <row r="286" spans="1:5" x14ac:dyDescent="0.25">
      <c r="A286" t="s">
        <v>5</v>
      </c>
      <c r="B286" t="s">
        <v>7</v>
      </c>
      <c r="C286">
        <v>106.42</v>
      </c>
      <c r="D286">
        <v>115.43093</v>
      </c>
      <c r="E286" s="1">
        <v>43831</v>
      </c>
    </row>
    <row r="287" spans="1:5" x14ac:dyDescent="0.25">
      <c r="A287" t="s">
        <v>5</v>
      </c>
      <c r="B287" t="s">
        <v>7</v>
      </c>
      <c r="C287">
        <v>106.14</v>
      </c>
      <c r="D287">
        <v>99.925849999999997</v>
      </c>
      <c r="E287" s="1">
        <v>43862</v>
      </c>
    </row>
    <row r="288" spans="1:5" x14ac:dyDescent="0.25">
      <c r="A288" t="s">
        <v>5</v>
      </c>
      <c r="B288" t="s">
        <v>7</v>
      </c>
      <c r="C288">
        <v>72.75</v>
      </c>
      <c r="D288">
        <v>71.595429999999993</v>
      </c>
      <c r="E288" s="1">
        <v>43891</v>
      </c>
    </row>
    <row r="289" spans="1:5" x14ac:dyDescent="0.25">
      <c r="A289" t="s">
        <v>5</v>
      </c>
      <c r="B289" t="s">
        <v>7</v>
      </c>
      <c r="C289">
        <v>41.11</v>
      </c>
      <c r="D289">
        <v>35.639209999999999</v>
      </c>
      <c r="E289" s="1">
        <v>43922</v>
      </c>
    </row>
    <row r="290" spans="1:5" x14ac:dyDescent="0.25">
      <c r="A290" t="s">
        <v>5</v>
      </c>
      <c r="B290" t="s">
        <v>7</v>
      </c>
      <c r="C290">
        <v>42.8</v>
      </c>
      <c r="D290">
        <v>39.16863</v>
      </c>
      <c r="E290" s="1">
        <v>43952</v>
      </c>
    </row>
    <row r="291" spans="1:5" x14ac:dyDescent="0.25">
      <c r="A291" t="s">
        <v>5</v>
      </c>
      <c r="B291" t="s">
        <v>7</v>
      </c>
      <c r="C291">
        <v>49.49</v>
      </c>
      <c r="D291">
        <v>42.555840000000003</v>
      </c>
      <c r="E291" s="1">
        <v>43983</v>
      </c>
    </row>
    <row r="292" spans="1:5" x14ac:dyDescent="0.25">
      <c r="A292" t="s">
        <v>5</v>
      </c>
      <c r="B292" t="s">
        <v>7</v>
      </c>
      <c r="C292">
        <v>45.95</v>
      </c>
      <c r="D292">
        <v>49.426859999999998</v>
      </c>
      <c r="E292" s="1">
        <v>44013</v>
      </c>
    </row>
    <row r="293" spans="1:5" x14ac:dyDescent="0.25">
      <c r="A293" t="s">
        <v>5</v>
      </c>
      <c r="B293" t="s">
        <v>7</v>
      </c>
      <c r="C293">
        <v>60.86</v>
      </c>
      <c r="D293">
        <v>57.98462</v>
      </c>
      <c r="E293" s="1">
        <v>44044</v>
      </c>
    </row>
    <row r="294" spans="1:5" x14ac:dyDescent="0.25">
      <c r="A294" t="s">
        <v>5</v>
      </c>
      <c r="B294" t="s">
        <v>7</v>
      </c>
      <c r="C294">
        <v>67.319999999999993</v>
      </c>
      <c r="D294">
        <v>64.769750000000002</v>
      </c>
      <c r="E294" s="1">
        <v>44075</v>
      </c>
    </row>
    <row r="295" spans="1:5" x14ac:dyDescent="0.25">
      <c r="A295" t="s">
        <v>5</v>
      </c>
      <c r="B295" t="s">
        <v>7</v>
      </c>
      <c r="C295">
        <v>71.900000000000006</v>
      </c>
      <c r="D295">
        <v>76.138819999999996</v>
      </c>
      <c r="E295" s="1">
        <v>44105</v>
      </c>
    </row>
    <row r="296" spans="1:5" x14ac:dyDescent="0.25">
      <c r="A296" t="s">
        <v>5</v>
      </c>
      <c r="B296" t="s">
        <v>7</v>
      </c>
      <c r="C296">
        <v>77.39</v>
      </c>
      <c r="D296">
        <v>79.315039999999996</v>
      </c>
      <c r="E296" s="1">
        <v>44136</v>
      </c>
    </row>
    <row r="297" spans="1:5" x14ac:dyDescent="0.25">
      <c r="A297" t="s">
        <v>5</v>
      </c>
      <c r="B297" t="s">
        <v>7</v>
      </c>
      <c r="C297">
        <v>75.510000000000005</v>
      </c>
      <c r="D297">
        <v>87.294659999999993</v>
      </c>
      <c r="E297" s="1">
        <v>44166</v>
      </c>
    </row>
    <row r="298" spans="1:5" x14ac:dyDescent="0.25">
      <c r="A298" t="s">
        <v>5</v>
      </c>
      <c r="B298" t="s">
        <v>7</v>
      </c>
      <c r="C298">
        <v>73.91</v>
      </c>
      <c r="D298">
        <v>83.082120000000003</v>
      </c>
      <c r="E298" s="1">
        <v>44197</v>
      </c>
    </row>
    <row r="299" spans="1:5" x14ac:dyDescent="0.25">
      <c r="A299" t="s">
        <v>5</v>
      </c>
      <c r="B299" t="s">
        <v>7</v>
      </c>
      <c r="C299">
        <v>81.06</v>
      </c>
      <c r="D299">
        <v>71.605000000000004</v>
      </c>
      <c r="E299" s="1">
        <v>44228</v>
      </c>
    </row>
    <row r="300" spans="1:5" x14ac:dyDescent="0.25">
      <c r="A300" t="s">
        <v>5</v>
      </c>
      <c r="B300" t="s">
        <v>7</v>
      </c>
      <c r="C300">
        <v>60.42</v>
      </c>
      <c r="D300">
        <v>59.331850000000003</v>
      </c>
      <c r="E300" s="1">
        <v>44256</v>
      </c>
    </row>
    <row r="301" spans="1:5" x14ac:dyDescent="0.25">
      <c r="A301" t="s">
        <v>5</v>
      </c>
      <c r="B301" t="s">
        <v>7</v>
      </c>
      <c r="C301">
        <v>63.37</v>
      </c>
      <c r="D301">
        <v>59.072139999999997</v>
      </c>
      <c r="E301" s="1">
        <v>44287</v>
      </c>
    </row>
    <row r="302" spans="1:5" x14ac:dyDescent="0.25">
      <c r="A302" t="s">
        <v>5</v>
      </c>
      <c r="B302" t="s">
        <v>7</v>
      </c>
      <c r="C302">
        <v>73.430000000000007</v>
      </c>
      <c r="D302">
        <v>69.301370000000006</v>
      </c>
      <c r="E302" s="1">
        <v>44317</v>
      </c>
    </row>
    <row r="303" spans="1:5" x14ac:dyDescent="0.25">
      <c r="A303" t="s">
        <v>5</v>
      </c>
      <c r="B303" t="s">
        <v>7</v>
      </c>
      <c r="C303">
        <v>80.81</v>
      </c>
      <c r="D303">
        <v>73.58305</v>
      </c>
      <c r="E303" s="1">
        <v>44348</v>
      </c>
    </row>
    <row r="304" spans="1:5" x14ac:dyDescent="0.25">
      <c r="A304" t="s">
        <v>5</v>
      </c>
      <c r="B304" t="s">
        <v>7</v>
      </c>
      <c r="C304">
        <v>82.79</v>
      </c>
      <c r="D304">
        <v>87.035169999999994</v>
      </c>
      <c r="E304" s="1">
        <v>44378</v>
      </c>
    </row>
    <row r="305" spans="1:5" x14ac:dyDescent="0.25">
      <c r="A305" t="s">
        <v>5</v>
      </c>
      <c r="B305" t="s">
        <v>7</v>
      </c>
      <c r="C305">
        <v>85.94</v>
      </c>
      <c r="D305">
        <v>82.461209999999994</v>
      </c>
      <c r="E305" s="1">
        <v>44409</v>
      </c>
    </row>
    <row r="306" spans="1:5" x14ac:dyDescent="0.25">
      <c r="A306" t="s">
        <v>5</v>
      </c>
      <c r="B306" t="s">
        <v>7</v>
      </c>
      <c r="C306">
        <v>88.71</v>
      </c>
      <c r="D306">
        <v>85.928730000000002</v>
      </c>
      <c r="E306" s="1">
        <v>44440</v>
      </c>
    </row>
    <row r="307" spans="1:5" x14ac:dyDescent="0.25">
      <c r="A307" t="s">
        <v>5</v>
      </c>
      <c r="B307" t="s">
        <v>7</v>
      </c>
      <c r="C307">
        <v>90.4</v>
      </c>
      <c r="D307">
        <v>94.851849999999999</v>
      </c>
      <c r="E307" s="1">
        <v>44470</v>
      </c>
    </row>
    <row r="308" spans="1:5" x14ac:dyDescent="0.25">
      <c r="A308" t="s">
        <v>5</v>
      </c>
      <c r="B308" t="s">
        <v>7</v>
      </c>
      <c r="C308">
        <v>93.19</v>
      </c>
      <c r="D308">
        <v>95.707380000000001</v>
      </c>
      <c r="E308" s="1">
        <v>44501</v>
      </c>
    </row>
    <row r="309" spans="1:5" x14ac:dyDescent="0.25">
      <c r="A309" t="s">
        <v>5</v>
      </c>
      <c r="B309" t="s">
        <v>7</v>
      </c>
      <c r="C309">
        <v>92.72</v>
      </c>
      <c r="D309">
        <v>106.14413999999999</v>
      </c>
      <c r="E309" s="1">
        <v>44531</v>
      </c>
    </row>
    <row r="310" spans="1:5" x14ac:dyDescent="0.25">
      <c r="A310" t="s">
        <v>5</v>
      </c>
      <c r="B310" t="s">
        <v>7</v>
      </c>
      <c r="C310">
        <v>91.58</v>
      </c>
      <c r="D310">
        <v>99.311000000000007</v>
      </c>
      <c r="E310" s="1">
        <v>44562</v>
      </c>
    </row>
    <row r="311" spans="1:5" x14ac:dyDescent="0.25">
      <c r="A311" t="s">
        <v>5</v>
      </c>
      <c r="B311" t="s">
        <v>7</v>
      </c>
      <c r="C311">
        <v>93.89</v>
      </c>
      <c r="D311">
        <v>83.978669999999994</v>
      </c>
      <c r="E311" s="1">
        <v>44593</v>
      </c>
    </row>
    <row r="312" spans="1:5" x14ac:dyDescent="0.25">
      <c r="A312" t="s">
        <v>5</v>
      </c>
      <c r="B312" t="s">
        <v>7</v>
      </c>
      <c r="C312">
        <v>98.57</v>
      </c>
      <c r="D312">
        <v>96.563339999999997</v>
      </c>
      <c r="E312" s="1">
        <v>44621</v>
      </c>
    </row>
    <row r="313" spans="1:5" x14ac:dyDescent="0.25">
      <c r="A313" t="s">
        <v>5</v>
      </c>
      <c r="B313" t="s">
        <v>7</v>
      </c>
      <c r="C313">
        <v>99.48</v>
      </c>
      <c r="D313">
        <v>95.693209999999993</v>
      </c>
      <c r="E313" s="1">
        <v>44652</v>
      </c>
    </row>
    <row r="314" spans="1:5" x14ac:dyDescent="0.25">
      <c r="A314" t="s">
        <v>5</v>
      </c>
      <c r="B314" t="s">
        <v>7</v>
      </c>
      <c r="C314">
        <v>101.18</v>
      </c>
      <c r="D314">
        <v>96.785259999999994</v>
      </c>
      <c r="E314" s="1">
        <v>44682</v>
      </c>
    </row>
    <row r="315" spans="1:5" x14ac:dyDescent="0.25">
      <c r="A315" t="s">
        <v>5</v>
      </c>
      <c r="B315" t="s">
        <v>7</v>
      </c>
      <c r="C315">
        <v>101.63</v>
      </c>
      <c r="D315">
        <v>94.282290000000003</v>
      </c>
      <c r="E315" s="1">
        <v>44713</v>
      </c>
    </row>
    <row r="316" spans="1:5" x14ac:dyDescent="0.25">
      <c r="A316" t="s">
        <v>5</v>
      </c>
      <c r="B316" t="s">
        <v>7</v>
      </c>
      <c r="C316">
        <v>102.04</v>
      </c>
      <c r="D316">
        <v>106.66839</v>
      </c>
      <c r="E316" s="1">
        <v>44743</v>
      </c>
    </row>
    <row r="317" spans="1:5" x14ac:dyDescent="0.25">
      <c r="A317" t="s">
        <v>5</v>
      </c>
      <c r="B317" t="s">
        <v>7</v>
      </c>
      <c r="C317">
        <v>103.97</v>
      </c>
      <c r="D317">
        <v>100.45498000000001</v>
      </c>
      <c r="E317" s="1">
        <v>44774</v>
      </c>
    </row>
    <row r="318" spans="1:5" x14ac:dyDescent="0.25">
      <c r="A318" t="s">
        <v>5</v>
      </c>
      <c r="B318" t="s">
        <v>7</v>
      </c>
      <c r="C318">
        <v>102.65</v>
      </c>
      <c r="D318">
        <v>101.40848</v>
      </c>
      <c r="E318" s="1">
        <v>44805</v>
      </c>
    </row>
    <row r="319" spans="1:5" x14ac:dyDescent="0.25">
      <c r="A319" t="s">
        <v>5</v>
      </c>
      <c r="B319" t="s">
        <v>7</v>
      </c>
      <c r="C319">
        <v>102.34</v>
      </c>
      <c r="D319">
        <v>105.70755</v>
      </c>
      <c r="E319" s="1">
        <v>44835</v>
      </c>
    </row>
    <row r="320" spans="1:5" x14ac:dyDescent="0.25">
      <c r="A320" t="s">
        <v>5</v>
      </c>
      <c r="B320" t="s">
        <v>7</v>
      </c>
      <c r="C320">
        <v>100.87</v>
      </c>
      <c r="D320">
        <v>103.21071000000001</v>
      </c>
      <c r="E320" s="1">
        <v>44866</v>
      </c>
    </row>
    <row r="321" spans="1:5" x14ac:dyDescent="0.25">
      <c r="A321" t="s">
        <v>5</v>
      </c>
      <c r="B321" t="s">
        <v>7</v>
      </c>
      <c r="C321">
        <v>101.16</v>
      </c>
      <c r="D321">
        <v>115.93612</v>
      </c>
      <c r="E321" s="1">
        <v>44896</v>
      </c>
    </row>
    <row r="322" spans="1:5" x14ac:dyDescent="0.25">
      <c r="A322" t="s">
        <v>5</v>
      </c>
      <c r="B322" t="s">
        <v>7</v>
      </c>
      <c r="C322">
        <v>103.57</v>
      </c>
      <c r="D322">
        <v>110.26821</v>
      </c>
      <c r="E322" s="1">
        <v>44927</v>
      </c>
    </row>
    <row r="323" spans="1:5" x14ac:dyDescent="0.25">
      <c r="A323" t="s">
        <v>5</v>
      </c>
      <c r="B323" t="s">
        <v>7</v>
      </c>
      <c r="C323">
        <v>103.45</v>
      </c>
      <c r="D323">
        <v>93.013009999999994</v>
      </c>
      <c r="E323" s="1">
        <v>44958</v>
      </c>
    </row>
    <row r="324" spans="1:5" x14ac:dyDescent="0.25">
      <c r="A324" t="s">
        <v>5</v>
      </c>
      <c r="B324" t="s">
        <v>7</v>
      </c>
      <c r="C324">
        <v>100.75</v>
      </c>
      <c r="D324">
        <v>99.995000000000005</v>
      </c>
      <c r="E324" s="1">
        <v>44986</v>
      </c>
    </row>
    <row r="325" spans="1:5" x14ac:dyDescent="0.25">
      <c r="A325" t="s">
        <v>5</v>
      </c>
      <c r="B325" t="s">
        <v>7</v>
      </c>
      <c r="C325">
        <v>104.44</v>
      </c>
      <c r="D325">
        <v>98.835220000000007</v>
      </c>
      <c r="E325" s="1">
        <v>45017</v>
      </c>
    </row>
    <row r="326" spans="1:5" x14ac:dyDescent="0.25">
      <c r="A326" t="s">
        <v>5</v>
      </c>
      <c r="B326" t="s">
        <v>7</v>
      </c>
      <c r="C326">
        <v>103.78</v>
      </c>
      <c r="D326">
        <v>99.549340000000001</v>
      </c>
      <c r="E326" s="1">
        <v>45047</v>
      </c>
    </row>
    <row r="327" spans="1:5" x14ac:dyDescent="0.25">
      <c r="A327" t="s">
        <v>5</v>
      </c>
      <c r="B327" t="s">
        <v>7</v>
      </c>
      <c r="C327">
        <v>105.53</v>
      </c>
      <c r="D327">
        <v>99.756309999999999</v>
      </c>
      <c r="E327" s="1">
        <v>45078</v>
      </c>
    </row>
    <row r="328" spans="1:5" x14ac:dyDescent="0.25">
      <c r="A328" t="s">
        <v>5</v>
      </c>
      <c r="B328" t="s">
        <v>7</v>
      </c>
      <c r="C328">
        <v>108.72</v>
      </c>
      <c r="D328">
        <v>112.80969</v>
      </c>
      <c r="E328" s="1">
        <v>45108</v>
      </c>
    </row>
    <row r="329" spans="1:5" x14ac:dyDescent="0.25">
      <c r="A329" t="s">
        <v>5</v>
      </c>
      <c r="B329" t="s">
        <v>7</v>
      </c>
      <c r="C329">
        <v>104.08</v>
      </c>
      <c r="D329">
        <v>99.720259999999996</v>
      </c>
      <c r="E329" s="1">
        <v>45139</v>
      </c>
    </row>
    <row r="330" spans="1:5" x14ac:dyDescent="0.25">
      <c r="A330" t="s">
        <v>5</v>
      </c>
      <c r="B330" t="s">
        <v>7</v>
      </c>
      <c r="C330">
        <v>104.71</v>
      </c>
      <c r="D330">
        <v>104.48882999999999</v>
      </c>
      <c r="E330" s="1">
        <v>45170</v>
      </c>
    </row>
    <row r="331" spans="1:5" x14ac:dyDescent="0.25">
      <c r="A331" t="s">
        <v>5</v>
      </c>
      <c r="B331" t="s">
        <v>7</v>
      </c>
      <c r="C331">
        <v>103.88</v>
      </c>
      <c r="D331">
        <v>106.45686000000001</v>
      </c>
      <c r="E331" s="1">
        <v>45200</v>
      </c>
    </row>
    <row r="332" spans="1:5" x14ac:dyDescent="0.25">
      <c r="A332" t="s">
        <v>5</v>
      </c>
      <c r="B332" t="s">
        <v>7</v>
      </c>
      <c r="C332">
        <v>107.29</v>
      </c>
      <c r="D332">
        <v>109.27807</v>
      </c>
      <c r="E332" s="1">
        <v>45231</v>
      </c>
    </row>
    <row r="333" spans="1:5" x14ac:dyDescent="0.25">
      <c r="A333" t="s">
        <v>5</v>
      </c>
      <c r="B333" t="s">
        <v>7</v>
      </c>
      <c r="C333">
        <v>109.68</v>
      </c>
      <c r="D333">
        <v>125.38222</v>
      </c>
      <c r="E333" s="1">
        <v>45261</v>
      </c>
    </row>
    <row r="334" spans="1:5" x14ac:dyDescent="0.25">
      <c r="A334" t="s">
        <v>5</v>
      </c>
      <c r="B334" t="s">
        <v>7</v>
      </c>
      <c r="C334">
        <v>108.02</v>
      </c>
      <c r="D334">
        <v>114.346</v>
      </c>
      <c r="E334" s="1">
        <v>45292</v>
      </c>
    </row>
    <row r="335" spans="1:5" x14ac:dyDescent="0.25">
      <c r="A335" t="s">
        <v>5</v>
      </c>
      <c r="B335" t="s">
        <v>7</v>
      </c>
      <c r="C335">
        <v>107.46</v>
      </c>
      <c r="D335">
        <v>98.410709999999995</v>
      </c>
      <c r="E335" s="1">
        <v>45323</v>
      </c>
    </row>
    <row r="336" spans="1:5" x14ac:dyDescent="0.25">
      <c r="A336" t="s">
        <v>5</v>
      </c>
      <c r="B336" t="s">
        <v>7</v>
      </c>
      <c r="C336">
        <v>107.03</v>
      </c>
      <c r="D336">
        <v>108.03429</v>
      </c>
      <c r="E336" s="1">
        <v>45352</v>
      </c>
    </row>
    <row r="337" spans="1:5" x14ac:dyDescent="0.25">
      <c r="A337" t="s">
        <v>5</v>
      </c>
      <c r="B337" t="s">
        <v>7</v>
      </c>
      <c r="C337">
        <v>106.49</v>
      </c>
      <c r="D337">
        <v>100.04956</v>
      </c>
      <c r="E337" s="1">
        <v>45383</v>
      </c>
    </row>
    <row r="338" spans="1:5" x14ac:dyDescent="0.25">
      <c r="A338" t="s">
        <v>5</v>
      </c>
      <c r="B338" t="s">
        <v>7</v>
      </c>
      <c r="C338">
        <v>108.76</v>
      </c>
      <c r="D338">
        <v>104.52464999999999</v>
      </c>
      <c r="E338" s="1">
        <v>45413</v>
      </c>
    </row>
    <row r="339" spans="1:5" x14ac:dyDescent="0.25">
      <c r="A339" t="s">
        <v>5</v>
      </c>
      <c r="B339" t="s">
        <v>7</v>
      </c>
      <c r="C339">
        <v>110.06</v>
      </c>
      <c r="D339">
        <v>104.17368999999999</v>
      </c>
      <c r="E339" s="1">
        <v>45444</v>
      </c>
    </row>
    <row r="340" spans="1:5" x14ac:dyDescent="0.25">
      <c r="A340" t="s">
        <v>5</v>
      </c>
      <c r="B340" t="s">
        <v>7</v>
      </c>
      <c r="C340">
        <v>111.07</v>
      </c>
      <c r="D340">
        <v>115.09074</v>
      </c>
      <c r="E340" s="1">
        <v>45474</v>
      </c>
    </row>
    <row r="341" spans="1:5" x14ac:dyDescent="0.25">
      <c r="A341" t="s">
        <v>5</v>
      </c>
      <c r="B341" t="s">
        <v>7</v>
      </c>
      <c r="C341">
        <v>109.69</v>
      </c>
      <c r="D341">
        <v>107.00818</v>
      </c>
      <c r="E341" s="1">
        <v>45505</v>
      </c>
    </row>
    <row r="342" spans="1:5" x14ac:dyDescent="0.25">
      <c r="A342" t="s">
        <v>5</v>
      </c>
      <c r="B342" t="s">
        <v>7</v>
      </c>
      <c r="C342">
        <v>110.75</v>
      </c>
      <c r="D342">
        <v>109.05683000000001</v>
      </c>
      <c r="E342" s="1">
        <v>45536</v>
      </c>
    </row>
    <row r="343" spans="1:5" x14ac:dyDescent="0.25">
      <c r="A343" t="s">
        <v>5</v>
      </c>
      <c r="B343" t="s">
        <v>7</v>
      </c>
      <c r="C343">
        <v>110.38</v>
      </c>
      <c r="D343">
        <v>111.87083</v>
      </c>
      <c r="E343" s="1">
        <v>45566</v>
      </c>
    </row>
    <row r="344" spans="1:5" x14ac:dyDescent="0.25">
      <c r="A344" t="s">
        <v>5</v>
      </c>
      <c r="B344" t="s">
        <v>7</v>
      </c>
      <c r="C344">
        <v>110.6</v>
      </c>
      <c r="D344">
        <v>114.89087000000001</v>
      </c>
      <c r="E344" s="1">
        <v>45597</v>
      </c>
    </row>
    <row r="345" spans="1:5" x14ac:dyDescent="0.25">
      <c r="A345" t="s">
        <v>5</v>
      </c>
      <c r="B345" t="s">
        <v>7</v>
      </c>
      <c r="C345">
        <v>113.35</v>
      </c>
      <c r="D345">
        <v>128.48855</v>
      </c>
      <c r="E345" s="1">
        <v>45627</v>
      </c>
    </row>
    <row r="346" spans="1:5" x14ac:dyDescent="0.25">
      <c r="A346" t="s">
        <v>5</v>
      </c>
      <c r="B346" t="s">
        <v>7</v>
      </c>
      <c r="C346">
        <v>109.09</v>
      </c>
      <c r="D346">
        <v>115.48611</v>
      </c>
      <c r="E346" s="1">
        <v>45658</v>
      </c>
    </row>
    <row r="347" spans="1:5" x14ac:dyDescent="0.25">
      <c r="A347" t="s">
        <v>5</v>
      </c>
      <c r="B347" t="s">
        <v>7</v>
      </c>
      <c r="C347">
        <v>110.22</v>
      </c>
      <c r="D347">
        <v>98.296390000000002</v>
      </c>
      <c r="E347" s="1">
        <v>45689</v>
      </c>
    </row>
    <row r="348" spans="1:5" x14ac:dyDescent="0.25">
      <c r="A348" t="s">
        <v>5</v>
      </c>
      <c r="B348" t="s">
        <v>7</v>
      </c>
      <c r="C348">
        <v>111.72</v>
      </c>
      <c r="D348">
        <v>112.07324</v>
      </c>
      <c r="E348" s="1">
        <v>45717</v>
      </c>
    </row>
    <row r="349" spans="1:5" x14ac:dyDescent="0.25">
      <c r="A349" t="s">
        <v>5</v>
      </c>
      <c r="B349" t="s">
        <v>7</v>
      </c>
      <c r="C349">
        <v>111.1</v>
      </c>
      <c r="D349">
        <v>104.80901</v>
      </c>
      <c r="E349" s="1">
        <v>45748</v>
      </c>
    </row>
    <row r="350" spans="1:5" x14ac:dyDescent="0.25">
      <c r="A350" t="s">
        <v>5</v>
      </c>
      <c r="B350" t="s">
        <v>7</v>
      </c>
      <c r="C350">
        <v>110.8</v>
      </c>
      <c r="D350">
        <v>107.47199000000001</v>
      </c>
      <c r="E350" s="1">
        <v>45778</v>
      </c>
    </row>
    <row r="351" spans="1:5" x14ac:dyDescent="0.25">
      <c r="A351" t="s">
        <v>5</v>
      </c>
      <c r="B351" t="s">
        <v>7</v>
      </c>
      <c r="C351">
        <v>109.4</v>
      </c>
      <c r="D351">
        <v>103.19019</v>
      </c>
      <c r="E351" s="1">
        <v>45809</v>
      </c>
    </row>
    <row r="352" spans="1:5" x14ac:dyDescent="0.25">
      <c r="A352" t="s">
        <v>5</v>
      </c>
      <c r="B352" t="s">
        <v>7</v>
      </c>
      <c r="C352">
        <v>109.76</v>
      </c>
      <c r="D352">
        <v>113.12538000000001</v>
      </c>
      <c r="E352" s="1">
        <v>45839</v>
      </c>
    </row>
    <row r="353" spans="1:5" x14ac:dyDescent="0.25">
      <c r="A353" t="s">
        <v>5</v>
      </c>
      <c r="B353" t="s">
        <v>7</v>
      </c>
      <c r="C353">
        <v>110.89</v>
      </c>
      <c r="D353">
        <v>108.28099</v>
      </c>
      <c r="E353" s="1">
        <v>45870</v>
      </c>
    </row>
    <row r="354" spans="1:5" x14ac:dyDescent="0.25">
      <c r="A354" t="s">
        <v>5</v>
      </c>
      <c r="B354" t="s">
        <v>8</v>
      </c>
      <c r="C354">
        <v>76.64</v>
      </c>
      <c r="D354">
        <v>73.403930000000003</v>
      </c>
      <c r="E354" s="1">
        <v>40544</v>
      </c>
    </row>
    <row r="355" spans="1:5" x14ac:dyDescent="0.25">
      <c r="A355" t="s">
        <v>5</v>
      </c>
      <c r="B355" t="s">
        <v>8</v>
      </c>
      <c r="C355">
        <v>76.540000000000006</v>
      </c>
      <c r="D355">
        <v>73.001890000000003</v>
      </c>
      <c r="E355" s="1">
        <v>40575</v>
      </c>
    </row>
    <row r="356" spans="1:5" x14ac:dyDescent="0.25">
      <c r="A356" t="s">
        <v>5</v>
      </c>
      <c r="B356" t="s">
        <v>8</v>
      </c>
      <c r="C356">
        <v>77.02</v>
      </c>
      <c r="D356">
        <v>76.851299999999995</v>
      </c>
      <c r="E356" s="1">
        <v>40603</v>
      </c>
    </row>
    <row r="357" spans="1:5" x14ac:dyDescent="0.25">
      <c r="A357" t="s">
        <v>5</v>
      </c>
      <c r="B357" t="s">
        <v>8</v>
      </c>
      <c r="C357">
        <v>78</v>
      </c>
      <c r="D357">
        <v>75.950069999999997</v>
      </c>
      <c r="E357" s="1">
        <v>40634</v>
      </c>
    </row>
    <row r="358" spans="1:5" x14ac:dyDescent="0.25">
      <c r="A358" t="s">
        <v>5</v>
      </c>
      <c r="B358" t="s">
        <v>8</v>
      </c>
      <c r="C358">
        <v>77.81</v>
      </c>
      <c r="D358">
        <v>77.319940000000003</v>
      </c>
      <c r="E358" s="1">
        <v>40664</v>
      </c>
    </row>
    <row r="359" spans="1:5" x14ac:dyDescent="0.25">
      <c r="A359" t="s">
        <v>5</v>
      </c>
      <c r="B359" t="s">
        <v>8</v>
      </c>
      <c r="C359">
        <v>78.459999999999994</v>
      </c>
      <c r="D359">
        <v>78.764849999999996</v>
      </c>
      <c r="E359" s="1">
        <v>40695</v>
      </c>
    </row>
    <row r="360" spans="1:5" x14ac:dyDescent="0.25">
      <c r="A360" t="s">
        <v>5</v>
      </c>
      <c r="B360" t="s">
        <v>8</v>
      </c>
      <c r="C360">
        <v>79.900000000000006</v>
      </c>
      <c r="D360">
        <v>78.139709999999994</v>
      </c>
      <c r="E360" s="1">
        <v>40725</v>
      </c>
    </row>
    <row r="361" spans="1:5" x14ac:dyDescent="0.25">
      <c r="A361" t="s">
        <v>5</v>
      </c>
      <c r="B361" t="s">
        <v>8</v>
      </c>
      <c r="C361">
        <v>80.430000000000007</v>
      </c>
      <c r="D361">
        <v>80.048940000000002</v>
      </c>
      <c r="E361" s="1">
        <v>40756</v>
      </c>
    </row>
    <row r="362" spans="1:5" x14ac:dyDescent="0.25">
      <c r="A362" t="s">
        <v>5</v>
      </c>
      <c r="B362" t="s">
        <v>8</v>
      </c>
      <c r="C362">
        <v>80.760000000000005</v>
      </c>
      <c r="D362">
        <v>81.251149999999996</v>
      </c>
      <c r="E362" s="1">
        <v>40787</v>
      </c>
    </row>
    <row r="363" spans="1:5" x14ac:dyDescent="0.25">
      <c r="A363" t="s">
        <v>5</v>
      </c>
      <c r="B363" t="s">
        <v>8</v>
      </c>
      <c r="C363">
        <v>80.47</v>
      </c>
      <c r="D363">
        <v>80.385750000000002</v>
      </c>
      <c r="E363" s="1">
        <v>40817</v>
      </c>
    </row>
    <row r="364" spans="1:5" x14ac:dyDescent="0.25">
      <c r="A364" t="s">
        <v>5</v>
      </c>
      <c r="B364" t="s">
        <v>8</v>
      </c>
      <c r="C364">
        <v>80.41</v>
      </c>
      <c r="D364">
        <v>82.085599999999999</v>
      </c>
      <c r="E364" s="1">
        <v>40848</v>
      </c>
    </row>
    <row r="365" spans="1:5" x14ac:dyDescent="0.25">
      <c r="A365" t="s">
        <v>5</v>
      </c>
      <c r="B365" t="s">
        <v>8</v>
      </c>
      <c r="C365">
        <v>79.87</v>
      </c>
      <c r="D365">
        <v>88.704610000000002</v>
      </c>
      <c r="E365" s="1">
        <v>40878</v>
      </c>
    </row>
    <row r="366" spans="1:5" x14ac:dyDescent="0.25">
      <c r="A366" t="s">
        <v>5</v>
      </c>
      <c r="B366" t="s">
        <v>8</v>
      </c>
      <c r="C366">
        <v>80.58</v>
      </c>
      <c r="D366">
        <v>77.981740000000002</v>
      </c>
      <c r="E366" s="1">
        <v>40909</v>
      </c>
    </row>
    <row r="367" spans="1:5" x14ac:dyDescent="0.25">
      <c r="A367" t="s">
        <v>5</v>
      </c>
      <c r="B367" t="s">
        <v>8</v>
      </c>
      <c r="C367">
        <v>83.47</v>
      </c>
      <c r="D367">
        <v>78.670580000000001</v>
      </c>
      <c r="E367" s="1">
        <v>40940</v>
      </c>
    </row>
    <row r="368" spans="1:5" x14ac:dyDescent="0.25">
      <c r="A368" t="s">
        <v>5</v>
      </c>
      <c r="B368" t="s">
        <v>8</v>
      </c>
      <c r="C368">
        <v>81.77</v>
      </c>
      <c r="D368">
        <v>82.535920000000004</v>
      </c>
      <c r="E368" s="1">
        <v>40969</v>
      </c>
    </row>
    <row r="369" spans="1:5" x14ac:dyDescent="0.25">
      <c r="A369" t="s">
        <v>5</v>
      </c>
      <c r="B369" t="s">
        <v>8</v>
      </c>
      <c r="C369">
        <v>80.28</v>
      </c>
      <c r="D369">
        <v>78.013829999999999</v>
      </c>
      <c r="E369" s="1">
        <v>41000</v>
      </c>
    </row>
    <row r="370" spans="1:5" x14ac:dyDescent="0.25">
      <c r="A370" t="s">
        <v>5</v>
      </c>
      <c r="B370" t="s">
        <v>8</v>
      </c>
      <c r="C370">
        <v>82.74</v>
      </c>
      <c r="D370">
        <v>82.578130000000002</v>
      </c>
      <c r="E370" s="1">
        <v>41030</v>
      </c>
    </row>
    <row r="371" spans="1:5" x14ac:dyDescent="0.25">
      <c r="A371" t="s">
        <v>5</v>
      </c>
      <c r="B371" t="s">
        <v>8</v>
      </c>
      <c r="C371">
        <v>81.75</v>
      </c>
      <c r="D371">
        <v>81.960639999999998</v>
      </c>
      <c r="E371" s="1">
        <v>41061</v>
      </c>
    </row>
    <row r="372" spans="1:5" x14ac:dyDescent="0.25">
      <c r="A372" t="s">
        <v>5</v>
      </c>
      <c r="B372" t="s">
        <v>8</v>
      </c>
      <c r="C372">
        <v>82.78</v>
      </c>
      <c r="D372">
        <v>81.251360000000005</v>
      </c>
      <c r="E372" s="1">
        <v>41091</v>
      </c>
    </row>
    <row r="373" spans="1:5" x14ac:dyDescent="0.25">
      <c r="A373" t="s">
        <v>5</v>
      </c>
      <c r="B373" t="s">
        <v>8</v>
      </c>
      <c r="C373">
        <v>83.56</v>
      </c>
      <c r="D373">
        <v>83.320719999999994</v>
      </c>
      <c r="E373" s="1">
        <v>41122</v>
      </c>
    </row>
    <row r="374" spans="1:5" x14ac:dyDescent="0.25">
      <c r="A374" t="s">
        <v>5</v>
      </c>
      <c r="B374" t="s">
        <v>8</v>
      </c>
      <c r="C374">
        <v>82.86</v>
      </c>
      <c r="D374">
        <v>82.372810000000001</v>
      </c>
      <c r="E374" s="1">
        <v>41153</v>
      </c>
    </row>
    <row r="375" spans="1:5" x14ac:dyDescent="0.25">
      <c r="A375" t="s">
        <v>5</v>
      </c>
      <c r="B375" t="s">
        <v>8</v>
      </c>
      <c r="C375">
        <v>83.23</v>
      </c>
      <c r="D375">
        <v>84.044219999999996</v>
      </c>
      <c r="E375" s="1">
        <v>41183</v>
      </c>
    </row>
    <row r="376" spans="1:5" x14ac:dyDescent="0.25">
      <c r="A376" t="s">
        <v>5</v>
      </c>
      <c r="B376" t="s">
        <v>8</v>
      </c>
      <c r="C376">
        <v>84.2</v>
      </c>
      <c r="D376">
        <v>85.947329999999994</v>
      </c>
      <c r="E376" s="1">
        <v>41214</v>
      </c>
    </row>
    <row r="377" spans="1:5" x14ac:dyDescent="0.25">
      <c r="A377" t="s">
        <v>5</v>
      </c>
      <c r="B377" t="s">
        <v>8</v>
      </c>
      <c r="C377">
        <v>85.58</v>
      </c>
      <c r="D377">
        <v>93.768900000000002</v>
      </c>
      <c r="E377" s="1">
        <v>41244</v>
      </c>
    </row>
    <row r="378" spans="1:5" x14ac:dyDescent="0.25">
      <c r="A378" t="s">
        <v>5</v>
      </c>
      <c r="B378" t="s">
        <v>8</v>
      </c>
      <c r="C378">
        <v>84.87</v>
      </c>
      <c r="D378">
        <v>82.623559999999998</v>
      </c>
      <c r="E378" s="1">
        <v>41275</v>
      </c>
    </row>
    <row r="379" spans="1:5" x14ac:dyDescent="0.25">
      <c r="A379" t="s">
        <v>5</v>
      </c>
      <c r="B379" t="s">
        <v>8</v>
      </c>
      <c r="C379">
        <v>85.96</v>
      </c>
      <c r="D379">
        <v>81.277199999999993</v>
      </c>
      <c r="E379" s="1">
        <v>41306</v>
      </c>
    </row>
    <row r="380" spans="1:5" x14ac:dyDescent="0.25">
      <c r="A380" t="s">
        <v>5</v>
      </c>
      <c r="B380" t="s">
        <v>8</v>
      </c>
      <c r="C380">
        <v>85.55</v>
      </c>
      <c r="D380">
        <v>85.751739999999998</v>
      </c>
      <c r="E380" s="1">
        <v>41334</v>
      </c>
    </row>
    <row r="381" spans="1:5" x14ac:dyDescent="0.25">
      <c r="A381" t="s">
        <v>5</v>
      </c>
      <c r="B381" t="s">
        <v>8</v>
      </c>
      <c r="C381">
        <v>86.77</v>
      </c>
      <c r="D381">
        <v>85.155370000000005</v>
      </c>
      <c r="E381" s="1">
        <v>41365</v>
      </c>
    </row>
    <row r="382" spans="1:5" x14ac:dyDescent="0.25">
      <c r="A382" t="s">
        <v>5</v>
      </c>
      <c r="B382" t="s">
        <v>8</v>
      </c>
      <c r="C382">
        <v>86.74</v>
      </c>
      <c r="D382">
        <v>86.635750000000002</v>
      </c>
      <c r="E382" s="1">
        <v>41395</v>
      </c>
    </row>
    <row r="383" spans="1:5" x14ac:dyDescent="0.25">
      <c r="A383" t="s">
        <v>5</v>
      </c>
      <c r="B383" t="s">
        <v>8</v>
      </c>
      <c r="C383">
        <v>87.53</v>
      </c>
      <c r="D383">
        <v>87.389089999999996</v>
      </c>
      <c r="E383" s="1">
        <v>41426</v>
      </c>
    </row>
    <row r="384" spans="1:5" x14ac:dyDescent="0.25">
      <c r="A384" t="s">
        <v>5</v>
      </c>
      <c r="B384" t="s">
        <v>8</v>
      </c>
      <c r="C384">
        <v>88.18</v>
      </c>
      <c r="D384">
        <v>86.801969999999997</v>
      </c>
      <c r="E384" s="1">
        <v>41456</v>
      </c>
    </row>
    <row r="385" spans="1:5" x14ac:dyDescent="0.25">
      <c r="A385" t="s">
        <v>5</v>
      </c>
      <c r="B385" t="s">
        <v>8</v>
      </c>
      <c r="C385">
        <v>87.82</v>
      </c>
      <c r="D385">
        <v>87.170209999999997</v>
      </c>
      <c r="E385" s="1">
        <v>41487</v>
      </c>
    </row>
    <row r="386" spans="1:5" x14ac:dyDescent="0.25">
      <c r="A386" t="s">
        <v>5</v>
      </c>
      <c r="B386" t="s">
        <v>8</v>
      </c>
      <c r="C386">
        <v>89.04</v>
      </c>
      <c r="D386">
        <v>89.001599999999996</v>
      </c>
      <c r="E386" s="1">
        <v>41518</v>
      </c>
    </row>
    <row r="387" spans="1:5" x14ac:dyDescent="0.25">
      <c r="A387" t="s">
        <v>5</v>
      </c>
      <c r="B387" t="s">
        <v>8</v>
      </c>
      <c r="C387">
        <v>90.05</v>
      </c>
      <c r="D387">
        <v>90.835120000000003</v>
      </c>
      <c r="E387" s="1">
        <v>41548</v>
      </c>
    </row>
    <row r="388" spans="1:5" x14ac:dyDescent="0.25">
      <c r="A388" t="s">
        <v>5</v>
      </c>
      <c r="B388" t="s">
        <v>8</v>
      </c>
      <c r="C388">
        <v>90.76</v>
      </c>
      <c r="D388">
        <v>91.905590000000004</v>
      </c>
      <c r="E388" s="1">
        <v>41579</v>
      </c>
    </row>
    <row r="389" spans="1:5" x14ac:dyDescent="0.25">
      <c r="A389" t="s">
        <v>5</v>
      </c>
      <c r="B389" t="s">
        <v>8</v>
      </c>
      <c r="C389">
        <v>90.9</v>
      </c>
      <c r="D389">
        <v>99.766739999999999</v>
      </c>
      <c r="E389" s="1">
        <v>41609</v>
      </c>
    </row>
    <row r="390" spans="1:5" x14ac:dyDescent="0.25">
      <c r="A390" t="s">
        <v>5</v>
      </c>
      <c r="B390" t="s">
        <v>8</v>
      </c>
      <c r="C390">
        <v>91.84</v>
      </c>
      <c r="D390">
        <v>89.721230000000006</v>
      </c>
      <c r="E390" s="1">
        <v>41640</v>
      </c>
    </row>
    <row r="391" spans="1:5" x14ac:dyDescent="0.25">
      <c r="A391" t="s">
        <v>5</v>
      </c>
      <c r="B391" t="s">
        <v>8</v>
      </c>
      <c r="C391">
        <v>90.22</v>
      </c>
      <c r="D391">
        <v>86.607209999999995</v>
      </c>
      <c r="E391" s="1">
        <v>41671</v>
      </c>
    </row>
    <row r="392" spans="1:5" x14ac:dyDescent="0.25">
      <c r="A392" t="s">
        <v>5</v>
      </c>
      <c r="B392" t="s">
        <v>8</v>
      </c>
      <c r="C392">
        <v>92.19</v>
      </c>
      <c r="D392">
        <v>91.364329999999995</v>
      </c>
      <c r="E392" s="1">
        <v>41699</v>
      </c>
    </row>
    <row r="393" spans="1:5" x14ac:dyDescent="0.25">
      <c r="A393" t="s">
        <v>5</v>
      </c>
      <c r="B393" t="s">
        <v>8</v>
      </c>
      <c r="C393">
        <v>91.44</v>
      </c>
      <c r="D393">
        <v>89.486189999999993</v>
      </c>
      <c r="E393" s="1">
        <v>41730</v>
      </c>
    </row>
    <row r="394" spans="1:5" x14ac:dyDescent="0.25">
      <c r="A394" t="s">
        <v>5</v>
      </c>
      <c r="B394" t="s">
        <v>8</v>
      </c>
      <c r="C394">
        <v>91.88</v>
      </c>
      <c r="D394">
        <v>91.409760000000006</v>
      </c>
      <c r="E394" s="1">
        <v>41760</v>
      </c>
    </row>
    <row r="395" spans="1:5" x14ac:dyDescent="0.25">
      <c r="A395" t="s">
        <v>5</v>
      </c>
      <c r="B395" t="s">
        <v>8</v>
      </c>
      <c r="C395">
        <v>93.06</v>
      </c>
      <c r="D395">
        <v>93.422389999999993</v>
      </c>
      <c r="E395" s="1">
        <v>41791</v>
      </c>
    </row>
    <row r="396" spans="1:5" x14ac:dyDescent="0.25">
      <c r="A396" t="s">
        <v>5</v>
      </c>
      <c r="B396" t="s">
        <v>8</v>
      </c>
      <c r="C396">
        <v>91.61</v>
      </c>
      <c r="D396">
        <v>90.300200000000004</v>
      </c>
      <c r="E396" s="1">
        <v>41821</v>
      </c>
    </row>
    <row r="397" spans="1:5" x14ac:dyDescent="0.25">
      <c r="A397" t="s">
        <v>5</v>
      </c>
      <c r="B397" t="s">
        <v>8</v>
      </c>
      <c r="C397">
        <v>91.13</v>
      </c>
      <c r="D397">
        <v>90.212729999999993</v>
      </c>
      <c r="E397" s="1">
        <v>41852</v>
      </c>
    </row>
    <row r="398" spans="1:5" x14ac:dyDescent="0.25">
      <c r="A398" t="s">
        <v>5</v>
      </c>
      <c r="B398" t="s">
        <v>8</v>
      </c>
      <c r="C398">
        <v>92.54</v>
      </c>
      <c r="D398">
        <v>93.023769999999999</v>
      </c>
      <c r="E398" s="1">
        <v>41883</v>
      </c>
    </row>
    <row r="399" spans="1:5" x14ac:dyDescent="0.25">
      <c r="A399" t="s">
        <v>5</v>
      </c>
      <c r="B399" t="s">
        <v>8</v>
      </c>
      <c r="C399">
        <v>93.78</v>
      </c>
      <c r="D399">
        <v>94.42577</v>
      </c>
      <c r="E399" s="1">
        <v>41913</v>
      </c>
    </row>
    <row r="400" spans="1:5" x14ac:dyDescent="0.25">
      <c r="A400" t="s">
        <v>5</v>
      </c>
      <c r="B400" t="s">
        <v>8</v>
      </c>
      <c r="C400">
        <v>94.38</v>
      </c>
      <c r="D400">
        <v>94.868930000000006</v>
      </c>
      <c r="E400" s="1">
        <v>41944</v>
      </c>
    </row>
    <row r="401" spans="1:5" x14ac:dyDescent="0.25">
      <c r="A401" t="s">
        <v>5</v>
      </c>
      <c r="B401" t="s">
        <v>8</v>
      </c>
      <c r="C401">
        <v>90.75</v>
      </c>
      <c r="D401">
        <v>99.860500000000002</v>
      </c>
      <c r="E401" s="1">
        <v>41974</v>
      </c>
    </row>
    <row r="402" spans="1:5" x14ac:dyDescent="0.25">
      <c r="A402" t="s">
        <v>5</v>
      </c>
      <c r="B402" t="s">
        <v>8</v>
      </c>
      <c r="C402">
        <v>92.33</v>
      </c>
      <c r="D402">
        <v>89.912869999999998</v>
      </c>
      <c r="E402" s="1">
        <v>42005</v>
      </c>
    </row>
    <row r="403" spans="1:5" x14ac:dyDescent="0.25">
      <c r="A403" t="s">
        <v>5</v>
      </c>
      <c r="B403" t="s">
        <v>8</v>
      </c>
      <c r="C403">
        <v>94.05</v>
      </c>
      <c r="D403">
        <v>89.493880000000004</v>
      </c>
      <c r="E403" s="1">
        <v>42036</v>
      </c>
    </row>
    <row r="404" spans="1:5" x14ac:dyDescent="0.25">
      <c r="A404" t="s">
        <v>5</v>
      </c>
      <c r="B404" t="s">
        <v>8</v>
      </c>
      <c r="C404">
        <v>95.38</v>
      </c>
      <c r="D404">
        <v>96.144490000000005</v>
      </c>
      <c r="E404" s="1">
        <v>42064</v>
      </c>
    </row>
    <row r="405" spans="1:5" x14ac:dyDescent="0.25">
      <c r="A405" t="s">
        <v>5</v>
      </c>
      <c r="B405" t="s">
        <v>8</v>
      </c>
      <c r="C405">
        <v>92.59</v>
      </c>
      <c r="D405">
        <v>90.39958</v>
      </c>
      <c r="E405" s="1">
        <v>42095</v>
      </c>
    </row>
    <row r="406" spans="1:5" x14ac:dyDescent="0.25">
      <c r="A406" t="s">
        <v>5</v>
      </c>
      <c r="B406" t="s">
        <v>8</v>
      </c>
      <c r="C406">
        <v>92.56</v>
      </c>
      <c r="D406">
        <v>91.825649999999996</v>
      </c>
      <c r="E406" s="1">
        <v>42125</v>
      </c>
    </row>
    <row r="407" spans="1:5" x14ac:dyDescent="0.25">
      <c r="A407" t="s">
        <v>5</v>
      </c>
      <c r="B407" t="s">
        <v>8</v>
      </c>
      <c r="C407">
        <v>91.64</v>
      </c>
      <c r="D407">
        <v>92.650739999999999</v>
      </c>
      <c r="E407" s="1">
        <v>42156</v>
      </c>
    </row>
    <row r="408" spans="1:5" x14ac:dyDescent="0.25">
      <c r="A408" t="s">
        <v>5</v>
      </c>
      <c r="B408" t="s">
        <v>8</v>
      </c>
      <c r="C408">
        <v>91.36</v>
      </c>
      <c r="D408">
        <v>90.113669999999999</v>
      </c>
      <c r="E408" s="1">
        <v>42186</v>
      </c>
    </row>
    <row r="409" spans="1:5" x14ac:dyDescent="0.25">
      <c r="A409" t="s">
        <v>5</v>
      </c>
      <c r="B409" t="s">
        <v>8</v>
      </c>
      <c r="C409">
        <v>91.58</v>
      </c>
      <c r="D409">
        <v>90.414699999999996</v>
      </c>
      <c r="E409" s="1">
        <v>42217</v>
      </c>
    </row>
    <row r="410" spans="1:5" x14ac:dyDescent="0.25">
      <c r="A410" t="s">
        <v>5</v>
      </c>
      <c r="B410" t="s">
        <v>8</v>
      </c>
      <c r="C410">
        <v>91.87</v>
      </c>
      <c r="D410">
        <v>92.420069999999996</v>
      </c>
      <c r="E410" s="1">
        <v>42248</v>
      </c>
    </row>
    <row r="411" spans="1:5" x14ac:dyDescent="0.25">
      <c r="A411" t="s">
        <v>5</v>
      </c>
      <c r="B411" t="s">
        <v>8</v>
      </c>
      <c r="C411">
        <v>91.44</v>
      </c>
      <c r="D411">
        <v>91.371639999999999</v>
      </c>
      <c r="E411" s="1">
        <v>42278</v>
      </c>
    </row>
    <row r="412" spans="1:5" x14ac:dyDescent="0.25">
      <c r="A412" t="s">
        <v>5</v>
      </c>
      <c r="B412" t="s">
        <v>8</v>
      </c>
      <c r="C412">
        <v>90.04</v>
      </c>
      <c r="D412">
        <v>90.794179999999997</v>
      </c>
      <c r="E412" s="1">
        <v>42309</v>
      </c>
    </row>
    <row r="413" spans="1:5" x14ac:dyDescent="0.25">
      <c r="A413" t="s">
        <v>5</v>
      </c>
      <c r="B413" t="s">
        <v>8</v>
      </c>
      <c r="C413">
        <v>90.17</v>
      </c>
      <c r="D413">
        <v>99.481160000000003</v>
      </c>
      <c r="E413" s="1">
        <v>42339</v>
      </c>
    </row>
    <row r="414" spans="1:5" x14ac:dyDescent="0.25">
      <c r="A414" t="s">
        <v>5</v>
      </c>
      <c r="B414" t="s">
        <v>8</v>
      </c>
      <c r="C414">
        <v>90.76</v>
      </c>
      <c r="D414">
        <v>88.052480000000003</v>
      </c>
      <c r="E414" s="1">
        <v>42370</v>
      </c>
    </row>
    <row r="415" spans="1:5" x14ac:dyDescent="0.25">
      <c r="A415" t="s">
        <v>5</v>
      </c>
      <c r="B415" t="s">
        <v>8</v>
      </c>
      <c r="C415">
        <v>89.53</v>
      </c>
      <c r="D415">
        <v>84.938069999999996</v>
      </c>
      <c r="E415" s="1">
        <v>42401</v>
      </c>
    </row>
    <row r="416" spans="1:5" x14ac:dyDescent="0.25">
      <c r="A416" t="s">
        <v>5</v>
      </c>
      <c r="B416" t="s">
        <v>8</v>
      </c>
      <c r="C416">
        <v>89.71</v>
      </c>
      <c r="D416">
        <v>90.497439999999997</v>
      </c>
      <c r="E416" s="1">
        <v>42430</v>
      </c>
    </row>
    <row r="417" spans="1:5" x14ac:dyDescent="0.25">
      <c r="A417" t="s">
        <v>5</v>
      </c>
      <c r="B417" t="s">
        <v>8</v>
      </c>
      <c r="C417">
        <v>89.82</v>
      </c>
      <c r="D417">
        <v>87.703710000000001</v>
      </c>
      <c r="E417" s="1">
        <v>42461</v>
      </c>
    </row>
    <row r="418" spans="1:5" x14ac:dyDescent="0.25">
      <c r="A418" t="s">
        <v>5</v>
      </c>
      <c r="B418" t="s">
        <v>8</v>
      </c>
      <c r="C418">
        <v>89.96</v>
      </c>
      <c r="D418">
        <v>89.42962</v>
      </c>
      <c r="E418" s="1">
        <v>42491</v>
      </c>
    </row>
    <row r="419" spans="1:5" x14ac:dyDescent="0.25">
      <c r="A419" t="s">
        <v>5</v>
      </c>
      <c r="B419" t="s">
        <v>8</v>
      </c>
      <c r="C419">
        <v>90.1</v>
      </c>
      <c r="D419">
        <v>91.143079999999998</v>
      </c>
      <c r="E419" s="1">
        <v>42522</v>
      </c>
    </row>
    <row r="420" spans="1:5" x14ac:dyDescent="0.25">
      <c r="A420" t="s">
        <v>5</v>
      </c>
      <c r="B420" t="s">
        <v>8</v>
      </c>
      <c r="C420">
        <v>90.68</v>
      </c>
      <c r="D420">
        <v>88.756280000000004</v>
      </c>
      <c r="E420" s="1">
        <v>42552</v>
      </c>
    </row>
    <row r="421" spans="1:5" x14ac:dyDescent="0.25">
      <c r="A421" t="s">
        <v>5</v>
      </c>
      <c r="B421" t="s">
        <v>8</v>
      </c>
      <c r="C421">
        <v>90.37</v>
      </c>
      <c r="D421">
        <v>90.217370000000003</v>
      </c>
      <c r="E421" s="1">
        <v>42583</v>
      </c>
    </row>
    <row r="422" spans="1:5" x14ac:dyDescent="0.25">
      <c r="A422" t="s">
        <v>5</v>
      </c>
      <c r="B422" t="s">
        <v>8</v>
      </c>
      <c r="C422">
        <v>89.93</v>
      </c>
      <c r="D422">
        <v>90.670249999999996</v>
      </c>
      <c r="E422" s="1">
        <v>42614</v>
      </c>
    </row>
    <row r="423" spans="1:5" x14ac:dyDescent="0.25">
      <c r="A423" t="s">
        <v>5</v>
      </c>
      <c r="B423" t="s">
        <v>8</v>
      </c>
      <c r="C423">
        <v>88.31</v>
      </c>
      <c r="D423">
        <v>87.371759999999995</v>
      </c>
      <c r="E423" s="1">
        <v>42644</v>
      </c>
    </row>
    <row r="424" spans="1:5" x14ac:dyDescent="0.25">
      <c r="A424" t="s">
        <v>5</v>
      </c>
      <c r="B424" t="s">
        <v>8</v>
      </c>
      <c r="C424">
        <v>86.91</v>
      </c>
      <c r="D424">
        <v>88.061589999999995</v>
      </c>
      <c r="E424" s="1">
        <v>42675</v>
      </c>
    </row>
    <row r="425" spans="1:5" x14ac:dyDescent="0.25">
      <c r="A425" t="s">
        <v>5</v>
      </c>
      <c r="B425" t="s">
        <v>8</v>
      </c>
      <c r="C425">
        <v>83.84</v>
      </c>
      <c r="D425">
        <v>92.993690000000001</v>
      </c>
      <c r="E425" s="1">
        <v>42705</v>
      </c>
    </row>
    <row r="426" spans="1:5" x14ac:dyDescent="0.25">
      <c r="A426" t="s">
        <v>5</v>
      </c>
      <c r="B426" t="s">
        <v>8</v>
      </c>
      <c r="C426">
        <v>90.32</v>
      </c>
      <c r="D426">
        <v>87.906670000000005</v>
      </c>
      <c r="E426" s="1">
        <v>42736</v>
      </c>
    </row>
    <row r="427" spans="1:5" x14ac:dyDescent="0.25">
      <c r="A427" t="s">
        <v>5</v>
      </c>
      <c r="B427" t="s">
        <v>8</v>
      </c>
      <c r="C427">
        <v>89.94</v>
      </c>
      <c r="D427">
        <v>85.332920000000001</v>
      </c>
      <c r="E427" s="1">
        <v>42767</v>
      </c>
    </row>
    <row r="428" spans="1:5" x14ac:dyDescent="0.25">
      <c r="A428" t="s">
        <v>5</v>
      </c>
      <c r="B428" t="s">
        <v>8</v>
      </c>
      <c r="C428">
        <v>87.48</v>
      </c>
      <c r="D428">
        <v>88.646739999999994</v>
      </c>
      <c r="E428" s="1">
        <v>42795</v>
      </c>
    </row>
    <row r="429" spans="1:5" x14ac:dyDescent="0.25">
      <c r="A429" t="s">
        <v>5</v>
      </c>
      <c r="B429" t="s">
        <v>8</v>
      </c>
      <c r="C429">
        <v>88.51</v>
      </c>
      <c r="D429">
        <v>85.462479999999999</v>
      </c>
      <c r="E429" s="1">
        <v>42826</v>
      </c>
    </row>
    <row r="430" spans="1:5" x14ac:dyDescent="0.25">
      <c r="A430" t="s">
        <v>5</v>
      </c>
      <c r="B430" t="s">
        <v>8</v>
      </c>
      <c r="C430">
        <v>86.97</v>
      </c>
      <c r="D430">
        <v>86.906869999999998</v>
      </c>
      <c r="E430" s="1">
        <v>42856</v>
      </c>
    </row>
    <row r="431" spans="1:5" x14ac:dyDescent="0.25">
      <c r="A431" t="s">
        <v>5</v>
      </c>
      <c r="B431" t="s">
        <v>8</v>
      </c>
      <c r="C431">
        <v>87.45</v>
      </c>
      <c r="D431">
        <v>88.62021</v>
      </c>
      <c r="E431" s="1">
        <v>42887</v>
      </c>
    </row>
    <row r="432" spans="1:5" x14ac:dyDescent="0.25">
      <c r="A432" t="s">
        <v>5</v>
      </c>
      <c r="B432" t="s">
        <v>8</v>
      </c>
      <c r="C432">
        <v>87.3</v>
      </c>
      <c r="D432">
        <v>85.138859999999994</v>
      </c>
      <c r="E432" s="1">
        <v>42917</v>
      </c>
    </row>
    <row r="433" spans="1:5" x14ac:dyDescent="0.25">
      <c r="A433" t="s">
        <v>5</v>
      </c>
      <c r="B433" t="s">
        <v>8</v>
      </c>
      <c r="C433">
        <v>87.07</v>
      </c>
      <c r="D433">
        <v>87.103170000000006</v>
      </c>
      <c r="E433" s="1">
        <v>42948</v>
      </c>
    </row>
    <row r="434" spans="1:5" x14ac:dyDescent="0.25">
      <c r="A434" t="s">
        <v>5</v>
      </c>
      <c r="B434" t="s">
        <v>8</v>
      </c>
      <c r="C434">
        <v>85.22</v>
      </c>
      <c r="D434">
        <v>85.442589999999996</v>
      </c>
      <c r="E434" s="1">
        <v>42979</v>
      </c>
    </row>
    <row r="435" spans="1:5" x14ac:dyDescent="0.25">
      <c r="A435" t="s">
        <v>5</v>
      </c>
      <c r="B435" t="s">
        <v>8</v>
      </c>
      <c r="C435">
        <v>85.81</v>
      </c>
      <c r="D435">
        <v>85.393720000000002</v>
      </c>
      <c r="E435" s="1">
        <v>43009</v>
      </c>
    </row>
    <row r="436" spans="1:5" x14ac:dyDescent="0.25">
      <c r="A436" t="s">
        <v>5</v>
      </c>
      <c r="B436" t="s">
        <v>8</v>
      </c>
      <c r="C436">
        <v>86.32</v>
      </c>
      <c r="D436">
        <v>87.379249999999999</v>
      </c>
      <c r="E436" s="1">
        <v>43040</v>
      </c>
    </row>
    <row r="437" spans="1:5" x14ac:dyDescent="0.25">
      <c r="A437" t="s">
        <v>5</v>
      </c>
      <c r="B437" t="s">
        <v>8</v>
      </c>
      <c r="C437">
        <v>85.96</v>
      </c>
      <c r="D437">
        <v>95.103930000000005</v>
      </c>
      <c r="E437" s="1">
        <v>43070</v>
      </c>
    </row>
    <row r="438" spans="1:5" x14ac:dyDescent="0.25">
      <c r="A438" t="s">
        <v>5</v>
      </c>
      <c r="B438" t="s">
        <v>8</v>
      </c>
      <c r="C438">
        <v>85.83</v>
      </c>
      <c r="D438">
        <v>83.538979999999995</v>
      </c>
      <c r="E438" s="1">
        <v>43101</v>
      </c>
    </row>
    <row r="439" spans="1:5" x14ac:dyDescent="0.25">
      <c r="A439" t="s">
        <v>5</v>
      </c>
      <c r="B439" t="s">
        <v>8</v>
      </c>
      <c r="C439">
        <v>85.52</v>
      </c>
      <c r="D439">
        <v>80.85342</v>
      </c>
      <c r="E439" s="1">
        <v>43132</v>
      </c>
    </row>
    <row r="440" spans="1:5" x14ac:dyDescent="0.25">
      <c r="A440" t="s">
        <v>5</v>
      </c>
      <c r="B440" t="s">
        <v>8</v>
      </c>
      <c r="C440">
        <v>87.51</v>
      </c>
      <c r="D440">
        <v>87.838890000000006</v>
      </c>
      <c r="E440" s="1">
        <v>43160</v>
      </c>
    </row>
    <row r="441" spans="1:5" x14ac:dyDescent="0.25">
      <c r="A441" t="s">
        <v>5</v>
      </c>
      <c r="B441" t="s">
        <v>8</v>
      </c>
      <c r="C441">
        <v>86.98</v>
      </c>
      <c r="D441">
        <v>84.519540000000006</v>
      </c>
      <c r="E441" s="1">
        <v>43191</v>
      </c>
    </row>
    <row r="442" spans="1:5" x14ac:dyDescent="0.25">
      <c r="A442" t="s">
        <v>5</v>
      </c>
      <c r="B442" t="s">
        <v>8</v>
      </c>
      <c r="C442">
        <v>85.75</v>
      </c>
      <c r="D442">
        <v>85.662469999999999</v>
      </c>
      <c r="E442" s="1">
        <v>43221</v>
      </c>
    </row>
    <row r="443" spans="1:5" x14ac:dyDescent="0.25">
      <c r="A443" t="s">
        <v>5</v>
      </c>
      <c r="B443" t="s">
        <v>8</v>
      </c>
      <c r="C443">
        <v>89.25</v>
      </c>
      <c r="D443">
        <v>89.902780000000007</v>
      </c>
      <c r="E443" s="1">
        <v>43252</v>
      </c>
    </row>
    <row r="444" spans="1:5" x14ac:dyDescent="0.25">
      <c r="A444" t="s">
        <v>5</v>
      </c>
      <c r="B444" t="s">
        <v>8</v>
      </c>
      <c r="C444">
        <v>86.64</v>
      </c>
      <c r="D444">
        <v>85.212879999999998</v>
      </c>
      <c r="E444" s="1">
        <v>43282</v>
      </c>
    </row>
    <row r="445" spans="1:5" x14ac:dyDescent="0.25">
      <c r="A445" t="s">
        <v>5</v>
      </c>
      <c r="B445" t="s">
        <v>8</v>
      </c>
      <c r="C445">
        <v>85.94</v>
      </c>
      <c r="D445">
        <v>86.127709999999993</v>
      </c>
      <c r="E445" s="1">
        <v>43313</v>
      </c>
    </row>
    <row r="446" spans="1:5" x14ac:dyDescent="0.25">
      <c r="A446" t="s">
        <v>5</v>
      </c>
      <c r="B446" t="s">
        <v>8</v>
      </c>
      <c r="C446">
        <v>87.96</v>
      </c>
      <c r="D446">
        <v>87.531049999999993</v>
      </c>
      <c r="E446" s="1">
        <v>43344</v>
      </c>
    </row>
    <row r="447" spans="1:5" x14ac:dyDescent="0.25">
      <c r="A447" t="s">
        <v>5</v>
      </c>
      <c r="B447" t="s">
        <v>8</v>
      </c>
      <c r="C447">
        <v>86.68</v>
      </c>
      <c r="D447">
        <v>86.594480000000004</v>
      </c>
      <c r="E447" s="1">
        <v>43374</v>
      </c>
    </row>
    <row r="448" spans="1:5" x14ac:dyDescent="0.25">
      <c r="A448" t="s">
        <v>5</v>
      </c>
      <c r="B448" t="s">
        <v>8</v>
      </c>
      <c r="C448">
        <v>86.75</v>
      </c>
      <c r="D448">
        <v>88.445750000000004</v>
      </c>
      <c r="E448" s="1">
        <v>43405</v>
      </c>
    </row>
    <row r="449" spans="1:5" x14ac:dyDescent="0.25">
      <c r="A449" t="s">
        <v>5</v>
      </c>
      <c r="B449" t="s">
        <v>8</v>
      </c>
      <c r="C449">
        <v>88.56</v>
      </c>
      <c r="D449">
        <v>97.756649999999993</v>
      </c>
      <c r="E449" s="1">
        <v>43435</v>
      </c>
    </row>
    <row r="450" spans="1:5" x14ac:dyDescent="0.25">
      <c r="A450" t="s">
        <v>5</v>
      </c>
      <c r="B450" t="s">
        <v>8</v>
      </c>
      <c r="C450">
        <v>88.71</v>
      </c>
      <c r="D450">
        <v>86.359989999999996</v>
      </c>
      <c r="E450" s="1">
        <v>43466</v>
      </c>
    </row>
    <row r="451" spans="1:5" x14ac:dyDescent="0.25">
      <c r="A451" t="s">
        <v>5</v>
      </c>
      <c r="B451" t="s">
        <v>8</v>
      </c>
      <c r="C451">
        <v>89.53</v>
      </c>
      <c r="D451">
        <v>85.829409999999996</v>
      </c>
      <c r="E451" s="1">
        <v>43497</v>
      </c>
    </row>
    <row r="452" spans="1:5" x14ac:dyDescent="0.25">
      <c r="A452" t="s">
        <v>5</v>
      </c>
      <c r="B452" t="s">
        <v>8</v>
      </c>
      <c r="C452">
        <v>89.52</v>
      </c>
      <c r="D452">
        <v>88.415509999999998</v>
      </c>
      <c r="E452" s="1">
        <v>43525</v>
      </c>
    </row>
    <row r="453" spans="1:5" x14ac:dyDescent="0.25">
      <c r="A453" t="s">
        <v>5</v>
      </c>
      <c r="B453" t="s">
        <v>8</v>
      </c>
      <c r="C453">
        <v>88.81</v>
      </c>
      <c r="D453">
        <v>86.327749999999995</v>
      </c>
      <c r="E453" s="1">
        <v>43556</v>
      </c>
    </row>
    <row r="454" spans="1:5" x14ac:dyDescent="0.25">
      <c r="A454" t="s">
        <v>5</v>
      </c>
      <c r="B454" t="s">
        <v>8</v>
      </c>
      <c r="C454">
        <v>90.01</v>
      </c>
      <c r="D454">
        <v>89.813730000000007</v>
      </c>
      <c r="E454" s="1">
        <v>43586</v>
      </c>
    </row>
    <row r="455" spans="1:5" x14ac:dyDescent="0.25">
      <c r="A455" t="s">
        <v>5</v>
      </c>
      <c r="B455" t="s">
        <v>8</v>
      </c>
      <c r="C455">
        <v>88.94</v>
      </c>
      <c r="D455">
        <v>89.048310000000001</v>
      </c>
      <c r="E455" s="1">
        <v>43617</v>
      </c>
    </row>
    <row r="456" spans="1:5" x14ac:dyDescent="0.25">
      <c r="A456" t="s">
        <v>5</v>
      </c>
      <c r="B456" t="s">
        <v>8</v>
      </c>
      <c r="C456">
        <v>89.6</v>
      </c>
      <c r="D456">
        <v>88.404929999999993</v>
      </c>
      <c r="E456" s="1">
        <v>43647</v>
      </c>
    </row>
    <row r="457" spans="1:5" x14ac:dyDescent="0.25">
      <c r="A457" t="s">
        <v>5</v>
      </c>
      <c r="B457" t="s">
        <v>8</v>
      </c>
      <c r="C457">
        <v>90.31</v>
      </c>
      <c r="D457">
        <v>90.114130000000003</v>
      </c>
      <c r="E457" s="1">
        <v>43678</v>
      </c>
    </row>
    <row r="458" spans="1:5" x14ac:dyDescent="0.25">
      <c r="A458" t="s">
        <v>5</v>
      </c>
      <c r="B458" t="s">
        <v>8</v>
      </c>
      <c r="C458">
        <v>89.82</v>
      </c>
      <c r="D458">
        <v>89.829819999999998</v>
      </c>
      <c r="E458" s="1">
        <v>43709</v>
      </c>
    </row>
    <row r="459" spans="1:5" x14ac:dyDescent="0.25">
      <c r="A459" t="s">
        <v>5</v>
      </c>
      <c r="B459" t="s">
        <v>8</v>
      </c>
      <c r="C459">
        <v>90.75</v>
      </c>
      <c r="D459">
        <v>91.012889999999999</v>
      </c>
      <c r="E459" s="1">
        <v>43739</v>
      </c>
    </row>
    <row r="460" spans="1:5" x14ac:dyDescent="0.25">
      <c r="A460" t="s">
        <v>5</v>
      </c>
      <c r="B460" t="s">
        <v>8</v>
      </c>
      <c r="C460">
        <v>90.18</v>
      </c>
      <c r="D460">
        <v>91.910870000000003</v>
      </c>
      <c r="E460" s="1">
        <v>43770</v>
      </c>
    </row>
    <row r="461" spans="1:5" x14ac:dyDescent="0.25">
      <c r="A461" t="s">
        <v>5</v>
      </c>
      <c r="B461" t="s">
        <v>8</v>
      </c>
      <c r="C461">
        <v>90.61</v>
      </c>
      <c r="D461">
        <v>100.80436</v>
      </c>
      <c r="E461" s="1">
        <v>43800</v>
      </c>
    </row>
    <row r="462" spans="1:5" x14ac:dyDescent="0.25">
      <c r="A462" t="s">
        <v>5</v>
      </c>
      <c r="B462" t="s">
        <v>8</v>
      </c>
      <c r="C462">
        <v>90.63</v>
      </c>
      <c r="D462">
        <v>88.074449999999999</v>
      </c>
      <c r="E462" s="1">
        <v>43831</v>
      </c>
    </row>
    <row r="463" spans="1:5" x14ac:dyDescent="0.25">
      <c r="A463" t="s">
        <v>5</v>
      </c>
      <c r="B463" t="s">
        <v>8</v>
      </c>
      <c r="C463">
        <v>91.18</v>
      </c>
      <c r="D463">
        <v>85.512410000000003</v>
      </c>
      <c r="E463" s="1">
        <v>43862</v>
      </c>
    </row>
    <row r="464" spans="1:5" x14ac:dyDescent="0.25">
      <c r="A464" t="s">
        <v>5</v>
      </c>
      <c r="B464" t="s">
        <v>8</v>
      </c>
      <c r="C464">
        <v>87.96</v>
      </c>
      <c r="D464">
        <v>88.198679999999996</v>
      </c>
      <c r="E464" s="1">
        <v>43891</v>
      </c>
    </row>
    <row r="465" spans="1:5" x14ac:dyDescent="0.25">
      <c r="A465" t="s">
        <v>5</v>
      </c>
      <c r="B465" t="s">
        <v>8</v>
      </c>
      <c r="C465">
        <v>85.21</v>
      </c>
      <c r="D465">
        <v>82.279169999999993</v>
      </c>
      <c r="E465" s="1">
        <v>43922</v>
      </c>
    </row>
    <row r="466" spans="1:5" x14ac:dyDescent="0.25">
      <c r="A466" t="s">
        <v>5</v>
      </c>
      <c r="B466" t="s">
        <v>8</v>
      </c>
      <c r="C466">
        <v>82.97</v>
      </c>
      <c r="D466">
        <v>81.808819999999997</v>
      </c>
      <c r="E466" s="1">
        <v>43952</v>
      </c>
    </row>
    <row r="467" spans="1:5" x14ac:dyDescent="0.25">
      <c r="A467" t="s">
        <v>5</v>
      </c>
      <c r="B467" t="s">
        <v>8</v>
      </c>
      <c r="C467">
        <v>85.41</v>
      </c>
      <c r="D467">
        <v>86.374989999999997</v>
      </c>
      <c r="E467" s="1">
        <v>43983</v>
      </c>
    </row>
    <row r="468" spans="1:5" x14ac:dyDescent="0.25">
      <c r="A468" t="s">
        <v>5</v>
      </c>
      <c r="B468" t="s">
        <v>8</v>
      </c>
      <c r="C468">
        <v>87.23</v>
      </c>
      <c r="D468">
        <v>86.221010000000007</v>
      </c>
      <c r="E468" s="1">
        <v>44013</v>
      </c>
    </row>
    <row r="469" spans="1:5" x14ac:dyDescent="0.25">
      <c r="A469" t="s">
        <v>5</v>
      </c>
      <c r="B469" t="s">
        <v>8</v>
      </c>
      <c r="C469">
        <v>87.22</v>
      </c>
      <c r="D469">
        <v>86.496440000000007</v>
      </c>
      <c r="E469" s="1">
        <v>44044</v>
      </c>
    </row>
    <row r="470" spans="1:5" x14ac:dyDescent="0.25">
      <c r="A470" t="s">
        <v>5</v>
      </c>
      <c r="B470" t="s">
        <v>8</v>
      </c>
      <c r="C470">
        <v>88.54</v>
      </c>
      <c r="D470">
        <v>89.070899999999995</v>
      </c>
      <c r="E470" s="1">
        <v>44075</v>
      </c>
    </row>
    <row r="471" spans="1:5" x14ac:dyDescent="0.25">
      <c r="A471" t="s">
        <v>5</v>
      </c>
      <c r="B471" t="s">
        <v>8</v>
      </c>
      <c r="C471">
        <v>90.75</v>
      </c>
      <c r="D471">
        <v>90.970389999999995</v>
      </c>
      <c r="E471" s="1">
        <v>44105</v>
      </c>
    </row>
    <row r="472" spans="1:5" x14ac:dyDescent="0.25">
      <c r="A472" t="s">
        <v>5</v>
      </c>
      <c r="B472" t="s">
        <v>8</v>
      </c>
      <c r="C472">
        <v>90.87</v>
      </c>
      <c r="D472">
        <v>93.07132</v>
      </c>
      <c r="E472" s="1">
        <v>44136</v>
      </c>
    </row>
    <row r="473" spans="1:5" x14ac:dyDescent="0.25">
      <c r="A473" t="s">
        <v>5</v>
      </c>
      <c r="B473" t="s">
        <v>8</v>
      </c>
      <c r="C473">
        <v>91.82</v>
      </c>
      <c r="D473">
        <v>102.62204</v>
      </c>
      <c r="E473" s="1">
        <v>44166</v>
      </c>
    </row>
    <row r="474" spans="1:5" x14ac:dyDescent="0.25">
      <c r="A474" t="s">
        <v>5</v>
      </c>
      <c r="B474" t="s">
        <v>8</v>
      </c>
      <c r="C474">
        <v>92.95</v>
      </c>
      <c r="D474">
        <v>89.433539999999994</v>
      </c>
      <c r="E474" s="1">
        <v>44197</v>
      </c>
    </row>
    <row r="475" spans="1:5" x14ac:dyDescent="0.25">
      <c r="A475" t="s">
        <v>5</v>
      </c>
      <c r="B475" t="s">
        <v>8</v>
      </c>
      <c r="C475">
        <v>93.42</v>
      </c>
      <c r="D475">
        <v>87.840209999999999</v>
      </c>
      <c r="E475" s="1">
        <v>44228</v>
      </c>
    </row>
    <row r="476" spans="1:5" x14ac:dyDescent="0.25">
      <c r="A476" t="s">
        <v>5</v>
      </c>
      <c r="B476" t="s">
        <v>8</v>
      </c>
      <c r="C476">
        <v>93.47</v>
      </c>
      <c r="D476">
        <v>93.794079999999994</v>
      </c>
      <c r="E476" s="1">
        <v>44256</v>
      </c>
    </row>
    <row r="477" spans="1:5" x14ac:dyDescent="0.25">
      <c r="A477" t="s">
        <v>5</v>
      </c>
      <c r="B477" t="s">
        <v>8</v>
      </c>
      <c r="C477">
        <v>95.77</v>
      </c>
      <c r="D477">
        <v>92.800259999999994</v>
      </c>
      <c r="E477" s="1">
        <v>44287</v>
      </c>
    </row>
    <row r="478" spans="1:5" x14ac:dyDescent="0.25">
      <c r="A478" t="s">
        <v>5</v>
      </c>
      <c r="B478" t="s">
        <v>8</v>
      </c>
      <c r="C478">
        <v>95.12</v>
      </c>
      <c r="D478">
        <v>93.378720000000001</v>
      </c>
      <c r="E478" s="1">
        <v>44317</v>
      </c>
    </row>
    <row r="479" spans="1:5" x14ac:dyDescent="0.25">
      <c r="A479" t="s">
        <v>5</v>
      </c>
      <c r="B479" t="s">
        <v>8</v>
      </c>
      <c r="C479">
        <v>97.42</v>
      </c>
      <c r="D479">
        <v>98.327629999999999</v>
      </c>
      <c r="E479" s="1">
        <v>44348</v>
      </c>
    </row>
    <row r="480" spans="1:5" x14ac:dyDescent="0.25">
      <c r="A480" t="s">
        <v>5</v>
      </c>
      <c r="B480" t="s">
        <v>8</v>
      </c>
      <c r="C480">
        <v>97.04</v>
      </c>
      <c r="D480">
        <v>95.844269999999995</v>
      </c>
      <c r="E480" s="1">
        <v>44378</v>
      </c>
    </row>
    <row r="481" spans="1:5" x14ac:dyDescent="0.25">
      <c r="A481" t="s">
        <v>5</v>
      </c>
      <c r="B481" t="s">
        <v>8</v>
      </c>
      <c r="C481">
        <v>98.31</v>
      </c>
      <c r="D481">
        <v>98.282210000000006</v>
      </c>
      <c r="E481" s="1">
        <v>44409</v>
      </c>
    </row>
    <row r="482" spans="1:5" x14ac:dyDescent="0.25">
      <c r="A482" t="s">
        <v>5</v>
      </c>
      <c r="B482" t="s">
        <v>8</v>
      </c>
      <c r="C482">
        <v>97.56</v>
      </c>
      <c r="D482">
        <v>98.114540000000005</v>
      </c>
      <c r="E482" s="1">
        <v>44440</v>
      </c>
    </row>
    <row r="483" spans="1:5" x14ac:dyDescent="0.25">
      <c r="A483" t="s">
        <v>5</v>
      </c>
      <c r="B483" t="s">
        <v>8</v>
      </c>
      <c r="C483">
        <v>96.75</v>
      </c>
      <c r="D483">
        <v>96.767399999999995</v>
      </c>
      <c r="E483" s="1">
        <v>44470</v>
      </c>
    </row>
    <row r="484" spans="1:5" x14ac:dyDescent="0.25">
      <c r="A484" t="s">
        <v>5</v>
      </c>
      <c r="B484" t="s">
        <v>8</v>
      </c>
      <c r="C484">
        <v>100.31</v>
      </c>
      <c r="D484">
        <v>103.51152999999999</v>
      </c>
      <c r="E484" s="1">
        <v>44501</v>
      </c>
    </row>
    <row r="485" spans="1:5" x14ac:dyDescent="0.25">
      <c r="A485" t="s">
        <v>5</v>
      </c>
      <c r="B485" t="s">
        <v>8</v>
      </c>
      <c r="C485">
        <v>102.03</v>
      </c>
      <c r="D485">
        <v>113.05166</v>
      </c>
      <c r="E485" s="1">
        <v>44531</v>
      </c>
    </row>
    <row r="486" spans="1:5" x14ac:dyDescent="0.25">
      <c r="A486" t="s">
        <v>5</v>
      </c>
      <c r="B486" t="s">
        <v>8</v>
      </c>
      <c r="C486">
        <v>97.96</v>
      </c>
      <c r="D486">
        <v>93.926090000000002</v>
      </c>
      <c r="E486" s="1">
        <v>44562</v>
      </c>
    </row>
    <row r="487" spans="1:5" x14ac:dyDescent="0.25">
      <c r="A487" t="s">
        <v>5</v>
      </c>
      <c r="B487" t="s">
        <v>8</v>
      </c>
      <c r="C487">
        <v>95.84</v>
      </c>
      <c r="D487">
        <v>89.912400000000005</v>
      </c>
      <c r="E487" s="1">
        <v>44593</v>
      </c>
    </row>
    <row r="488" spans="1:5" x14ac:dyDescent="0.25">
      <c r="A488" t="s">
        <v>5</v>
      </c>
      <c r="B488" t="s">
        <v>8</v>
      </c>
      <c r="C488">
        <v>97.13</v>
      </c>
      <c r="D488">
        <v>97.457419999999999</v>
      </c>
      <c r="E488" s="1">
        <v>44621</v>
      </c>
    </row>
    <row r="489" spans="1:5" x14ac:dyDescent="0.25">
      <c r="A489" t="s">
        <v>5</v>
      </c>
      <c r="B489" t="s">
        <v>8</v>
      </c>
      <c r="C489">
        <v>98.01</v>
      </c>
      <c r="D489">
        <v>94.289199999999994</v>
      </c>
      <c r="E489" s="1">
        <v>44652</v>
      </c>
    </row>
    <row r="490" spans="1:5" x14ac:dyDescent="0.25">
      <c r="A490" t="s">
        <v>5</v>
      </c>
      <c r="B490" t="s">
        <v>8</v>
      </c>
      <c r="C490">
        <v>98.5</v>
      </c>
      <c r="D490">
        <v>97.156279999999995</v>
      </c>
      <c r="E490" s="1">
        <v>44682</v>
      </c>
    </row>
    <row r="491" spans="1:5" x14ac:dyDescent="0.25">
      <c r="A491" t="s">
        <v>5</v>
      </c>
      <c r="B491" t="s">
        <v>8</v>
      </c>
      <c r="C491">
        <v>98.42</v>
      </c>
      <c r="D491">
        <v>99.168139999999994</v>
      </c>
      <c r="E491" s="1">
        <v>44713</v>
      </c>
    </row>
    <row r="492" spans="1:5" x14ac:dyDescent="0.25">
      <c r="A492" t="s">
        <v>5</v>
      </c>
      <c r="B492" t="s">
        <v>8</v>
      </c>
      <c r="C492">
        <v>99.05</v>
      </c>
      <c r="D492">
        <v>97.899720000000002</v>
      </c>
      <c r="E492" s="1">
        <v>44743</v>
      </c>
    </row>
    <row r="493" spans="1:5" x14ac:dyDescent="0.25">
      <c r="A493" t="s">
        <v>5</v>
      </c>
      <c r="B493" t="s">
        <v>8</v>
      </c>
      <c r="C493">
        <v>101.05</v>
      </c>
      <c r="D493">
        <v>101.29499</v>
      </c>
      <c r="E493" s="1">
        <v>44774</v>
      </c>
    </row>
    <row r="494" spans="1:5" x14ac:dyDescent="0.25">
      <c r="A494" t="s">
        <v>5</v>
      </c>
      <c r="B494" t="s">
        <v>8</v>
      </c>
      <c r="C494">
        <v>103</v>
      </c>
      <c r="D494">
        <v>103.96281999999999</v>
      </c>
      <c r="E494" s="1">
        <v>44805</v>
      </c>
    </row>
    <row r="495" spans="1:5" x14ac:dyDescent="0.25">
      <c r="A495" t="s">
        <v>5</v>
      </c>
      <c r="B495" t="s">
        <v>8</v>
      </c>
      <c r="C495">
        <v>105.24</v>
      </c>
      <c r="D495">
        <v>104.88599000000001</v>
      </c>
      <c r="E495" s="1">
        <v>44835</v>
      </c>
    </row>
    <row r="496" spans="1:5" x14ac:dyDescent="0.25">
      <c r="A496" t="s">
        <v>5</v>
      </c>
      <c r="B496" t="s">
        <v>8</v>
      </c>
      <c r="C496">
        <v>103.49</v>
      </c>
      <c r="D496">
        <v>107.05065999999999</v>
      </c>
      <c r="E496" s="1">
        <v>44866</v>
      </c>
    </row>
    <row r="497" spans="1:5" x14ac:dyDescent="0.25">
      <c r="A497" t="s">
        <v>5</v>
      </c>
      <c r="B497" t="s">
        <v>8</v>
      </c>
      <c r="C497">
        <v>102.31</v>
      </c>
      <c r="D497">
        <v>112.99630000000001</v>
      </c>
      <c r="E497" s="1">
        <v>44896</v>
      </c>
    </row>
    <row r="498" spans="1:5" x14ac:dyDescent="0.25">
      <c r="A498" t="s">
        <v>5</v>
      </c>
      <c r="B498" t="s">
        <v>8</v>
      </c>
      <c r="C498">
        <v>101.2</v>
      </c>
      <c r="D498">
        <v>97.697249999999997</v>
      </c>
      <c r="E498" s="1">
        <v>44927</v>
      </c>
    </row>
    <row r="499" spans="1:5" x14ac:dyDescent="0.25">
      <c r="A499" t="s">
        <v>5</v>
      </c>
      <c r="B499" t="s">
        <v>8</v>
      </c>
      <c r="C499">
        <v>102.31</v>
      </c>
      <c r="D499">
        <v>96.10333</v>
      </c>
      <c r="E499" s="1">
        <v>44958</v>
      </c>
    </row>
    <row r="500" spans="1:5" x14ac:dyDescent="0.25">
      <c r="A500" t="s">
        <v>5</v>
      </c>
      <c r="B500" t="s">
        <v>8</v>
      </c>
      <c r="C500">
        <v>103.46</v>
      </c>
      <c r="D500">
        <v>103.90822</v>
      </c>
      <c r="E500" s="1">
        <v>44986</v>
      </c>
    </row>
    <row r="501" spans="1:5" x14ac:dyDescent="0.25">
      <c r="A501" t="s">
        <v>5</v>
      </c>
      <c r="B501" t="s">
        <v>8</v>
      </c>
      <c r="C501">
        <v>102.53</v>
      </c>
      <c r="D501">
        <v>98.064850000000007</v>
      </c>
      <c r="E501" s="1">
        <v>45017</v>
      </c>
    </row>
    <row r="502" spans="1:5" x14ac:dyDescent="0.25">
      <c r="A502" t="s">
        <v>5</v>
      </c>
      <c r="B502" t="s">
        <v>8</v>
      </c>
      <c r="C502">
        <v>103.55</v>
      </c>
      <c r="D502">
        <v>102.29018000000001</v>
      </c>
      <c r="E502" s="1">
        <v>45047</v>
      </c>
    </row>
    <row r="503" spans="1:5" x14ac:dyDescent="0.25">
      <c r="A503" t="s">
        <v>5</v>
      </c>
      <c r="B503" t="s">
        <v>8</v>
      </c>
      <c r="C503">
        <v>103.94</v>
      </c>
      <c r="D503">
        <v>104.95537</v>
      </c>
      <c r="E503" s="1">
        <v>45078</v>
      </c>
    </row>
    <row r="504" spans="1:5" x14ac:dyDescent="0.25">
      <c r="A504" t="s">
        <v>5</v>
      </c>
      <c r="B504" t="s">
        <v>8</v>
      </c>
      <c r="C504">
        <v>103.41</v>
      </c>
      <c r="D504">
        <v>102.28916</v>
      </c>
      <c r="E504" s="1">
        <v>45108</v>
      </c>
    </row>
    <row r="505" spans="1:5" x14ac:dyDescent="0.25">
      <c r="A505" t="s">
        <v>5</v>
      </c>
      <c r="B505" t="s">
        <v>8</v>
      </c>
      <c r="C505">
        <v>103.51</v>
      </c>
      <c r="D505">
        <v>103.81393</v>
      </c>
      <c r="E505" s="1">
        <v>45139</v>
      </c>
    </row>
    <row r="506" spans="1:5" x14ac:dyDescent="0.25">
      <c r="A506" t="s">
        <v>5</v>
      </c>
      <c r="B506" t="s">
        <v>8</v>
      </c>
      <c r="C506">
        <v>102.87</v>
      </c>
      <c r="D506">
        <v>103.54853</v>
      </c>
      <c r="E506" s="1">
        <v>45170</v>
      </c>
    </row>
    <row r="507" spans="1:5" x14ac:dyDescent="0.25">
      <c r="A507" t="s">
        <v>5</v>
      </c>
      <c r="B507" t="s">
        <v>8</v>
      </c>
      <c r="C507">
        <v>104.48</v>
      </c>
      <c r="D507">
        <v>104.61451</v>
      </c>
      <c r="E507" s="1">
        <v>45200</v>
      </c>
    </row>
    <row r="508" spans="1:5" x14ac:dyDescent="0.25">
      <c r="A508" t="s">
        <v>5</v>
      </c>
      <c r="B508" t="s">
        <v>8</v>
      </c>
      <c r="C508">
        <v>105.6</v>
      </c>
      <c r="D508">
        <v>109.11827</v>
      </c>
      <c r="E508" s="1">
        <v>45231</v>
      </c>
    </row>
    <row r="509" spans="1:5" x14ac:dyDescent="0.25">
      <c r="A509" t="s">
        <v>5</v>
      </c>
      <c r="B509" t="s">
        <v>8</v>
      </c>
      <c r="C509">
        <v>106.44</v>
      </c>
      <c r="D509">
        <v>116.82134000000001</v>
      </c>
      <c r="E509" s="1">
        <v>45261</v>
      </c>
    </row>
    <row r="510" spans="1:5" x14ac:dyDescent="0.25">
      <c r="A510" t="s">
        <v>5</v>
      </c>
      <c r="B510" t="s">
        <v>8</v>
      </c>
      <c r="C510">
        <v>107.25</v>
      </c>
      <c r="D510">
        <v>103.87416</v>
      </c>
      <c r="E510" s="1">
        <v>45292</v>
      </c>
    </row>
    <row r="511" spans="1:5" x14ac:dyDescent="0.25">
      <c r="A511" t="s">
        <v>5</v>
      </c>
      <c r="B511" t="s">
        <v>8</v>
      </c>
      <c r="C511">
        <v>106.97</v>
      </c>
      <c r="D511">
        <v>100.62582999999999</v>
      </c>
      <c r="E511" s="1">
        <v>45323</v>
      </c>
    </row>
    <row r="512" spans="1:5" x14ac:dyDescent="0.25">
      <c r="A512" t="s">
        <v>5</v>
      </c>
      <c r="B512" t="s">
        <v>8</v>
      </c>
      <c r="C512">
        <v>108.91</v>
      </c>
      <c r="D512">
        <v>108.49281999999999</v>
      </c>
      <c r="E512" s="1">
        <v>45352</v>
      </c>
    </row>
    <row r="513" spans="1:5" x14ac:dyDescent="0.25">
      <c r="A513" t="s">
        <v>5</v>
      </c>
      <c r="B513" t="s">
        <v>8</v>
      </c>
      <c r="C513">
        <v>108.79</v>
      </c>
      <c r="D513">
        <v>105.33583</v>
      </c>
      <c r="E513" s="1">
        <v>45383</v>
      </c>
    </row>
    <row r="514" spans="1:5" x14ac:dyDescent="0.25">
      <c r="A514" t="s">
        <v>5</v>
      </c>
      <c r="B514" t="s">
        <v>8</v>
      </c>
      <c r="C514">
        <v>107.38</v>
      </c>
      <c r="D514">
        <v>106.18621</v>
      </c>
      <c r="E514" s="1">
        <v>45413</v>
      </c>
    </row>
    <row r="515" spans="1:5" x14ac:dyDescent="0.25">
      <c r="A515" t="s">
        <v>5</v>
      </c>
      <c r="B515" t="s">
        <v>8</v>
      </c>
      <c r="C515">
        <v>109.47</v>
      </c>
      <c r="D515">
        <v>109.52518000000001</v>
      </c>
      <c r="E515" s="1">
        <v>45444</v>
      </c>
    </row>
    <row r="516" spans="1:5" x14ac:dyDescent="0.25">
      <c r="A516" t="s">
        <v>5</v>
      </c>
      <c r="B516" t="s">
        <v>8</v>
      </c>
      <c r="C516">
        <v>111.86</v>
      </c>
      <c r="D516">
        <v>111.93313000000001</v>
      </c>
      <c r="E516" s="1">
        <v>45474</v>
      </c>
    </row>
    <row r="517" spans="1:5" x14ac:dyDescent="0.25">
      <c r="A517" t="s">
        <v>5</v>
      </c>
      <c r="B517" t="s">
        <v>8</v>
      </c>
      <c r="C517">
        <v>111.29</v>
      </c>
      <c r="D517">
        <v>111.20023999999999</v>
      </c>
      <c r="E517" s="1">
        <v>45505</v>
      </c>
    </row>
    <row r="518" spans="1:5" x14ac:dyDescent="0.25">
      <c r="A518" t="s">
        <v>5</v>
      </c>
      <c r="B518" t="s">
        <v>8</v>
      </c>
      <c r="C518">
        <v>112.72</v>
      </c>
      <c r="D518">
        <v>113.27705</v>
      </c>
      <c r="E518" s="1">
        <v>45536</v>
      </c>
    </row>
    <row r="519" spans="1:5" x14ac:dyDescent="0.25">
      <c r="A519" t="s">
        <v>5</v>
      </c>
      <c r="B519" t="s">
        <v>8</v>
      </c>
      <c r="C519">
        <v>111.36</v>
      </c>
      <c r="D519">
        <v>111.67604</v>
      </c>
      <c r="E519" s="1">
        <v>45566</v>
      </c>
    </row>
    <row r="520" spans="1:5" x14ac:dyDescent="0.25">
      <c r="A520" t="s">
        <v>5</v>
      </c>
      <c r="B520" t="s">
        <v>8</v>
      </c>
      <c r="C520">
        <v>111.78</v>
      </c>
      <c r="D520">
        <v>115.11194</v>
      </c>
      <c r="E520" s="1">
        <v>45597</v>
      </c>
    </row>
    <row r="521" spans="1:5" x14ac:dyDescent="0.25">
      <c r="A521" t="s">
        <v>5</v>
      </c>
      <c r="B521" t="s">
        <v>8</v>
      </c>
      <c r="C521">
        <v>112.52</v>
      </c>
      <c r="D521">
        <v>123.22044</v>
      </c>
      <c r="E521" s="1">
        <v>45627</v>
      </c>
    </row>
    <row r="522" spans="1:5" x14ac:dyDescent="0.25">
      <c r="A522" t="s">
        <v>5</v>
      </c>
      <c r="B522" t="s">
        <v>8</v>
      </c>
      <c r="C522">
        <v>113.42</v>
      </c>
      <c r="D522">
        <v>110.17434</v>
      </c>
      <c r="E522" s="1">
        <v>45658</v>
      </c>
    </row>
    <row r="523" spans="1:5" x14ac:dyDescent="0.25">
      <c r="A523" t="s">
        <v>5</v>
      </c>
      <c r="B523" t="s">
        <v>8</v>
      </c>
      <c r="C523">
        <v>115.97</v>
      </c>
      <c r="D523">
        <v>110.48932000000001</v>
      </c>
      <c r="E523" s="1">
        <v>45689</v>
      </c>
    </row>
    <row r="524" spans="1:5" x14ac:dyDescent="0.25">
      <c r="A524" t="s">
        <v>5</v>
      </c>
      <c r="B524" t="s">
        <v>8</v>
      </c>
      <c r="C524">
        <v>113.9</v>
      </c>
      <c r="D524">
        <v>112.66491000000001</v>
      </c>
      <c r="E524" s="1">
        <v>45717</v>
      </c>
    </row>
    <row r="525" spans="1:5" x14ac:dyDescent="0.25">
      <c r="A525" t="s">
        <v>5</v>
      </c>
      <c r="B525" t="s">
        <v>8</v>
      </c>
      <c r="C525">
        <v>114.59</v>
      </c>
      <c r="D525">
        <v>110.79613999999999</v>
      </c>
      <c r="E525" s="1">
        <v>45748</v>
      </c>
    </row>
    <row r="526" spans="1:5" x14ac:dyDescent="0.25">
      <c r="A526" t="s">
        <v>5</v>
      </c>
      <c r="B526" t="s">
        <v>8</v>
      </c>
      <c r="C526">
        <v>114.94</v>
      </c>
      <c r="D526">
        <v>113.37607</v>
      </c>
      <c r="E526" s="1">
        <v>45778</v>
      </c>
    </row>
    <row r="527" spans="1:5" x14ac:dyDescent="0.25">
      <c r="A527" t="s">
        <v>5</v>
      </c>
      <c r="B527" t="s">
        <v>8</v>
      </c>
      <c r="C527">
        <v>115.51</v>
      </c>
      <c r="D527">
        <v>115.877</v>
      </c>
      <c r="E527" s="1">
        <v>45809</v>
      </c>
    </row>
    <row r="528" spans="1:5" x14ac:dyDescent="0.25">
      <c r="A528" t="s">
        <v>5</v>
      </c>
      <c r="B528" t="s">
        <v>8</v>
      </c>
      <c r="C528">
        <v>115.92</v>
      </c>
      <c r="D528">
        <v>116.34139</v>
      </c>
      <c r="E528" s="1">
        <v>45839</v>
      </c>
    </row>
    <row r="529" spans="1:5" x14ac:dyDescent="0.25">
      <c r="A529" t="s">
        <v>5</v>
      </c>
      <c r="B529" t="s">
        <v>8</v>
      </c>
      <c r="C529">
        <v>115.49</v>
      </c>
      <c r="D529">
        <v>115.00426</v>
      </c>
      <c r="E529" s="1">
        <v>45870</v>
      </c>
    </row>
    <row r="530" spans="1:5" x14ac:dyDescent="0.25">
      <c r="A530" t="s">
        <v>5</v>
      </c>
      <c r="B530" t="s">
        <v>9</v>
      </c>
      <c r="C530">
        <v>109.29</v>
      </c>
      <c r="D530">
        <v>101.48199</v>
      </c>
      <c r="E530" s="1">
        <v>40544</v>
      </c>
    </row>
    <row r="531" spans="1:5" x14ac:dyDescent="0.25">
      <c r="A531" t="s">
        <v>5</v>
      </c>
      <c r="B531" t="s">
        <v>9</v>
      </c>
      <c r="C531">
        <v>110.27</v>
      </c>
      <c r="D531">
        <v>103.30334999999999</v>
      </c>
      <c r="E531" s="1">
        <v>40575</v>
      </c>
    </row>
    <row r="532" spans="1:5" x14ac:dyDescent="0.25">
      <c r="A532" t="s">
        <v>5</v>
      </c>
      <c r="B532" t="s">
        <v>9</v>
      </c>
      <c r="C532">
        <v>111.05</v>
      </c>
      <c r="D532">
        <v>109.70204</v>
      </c>
      <c r="E532" s="1">
        <v>40603</v>
      </c>
    </row>
    <row r="533" spans="1:5" x14ac:dyDescent="0.25">
      <c r="A533" t="s">
        <v>5</v>
      </c>
      <c r="B533" t="s">
        <v>9</v>
      </c>
      <c r="C533">
        <v>111.22</v>
      </c>
      <c r="D533">
        <v>108.66972</v>
      </c>
      <c r="E533" s="1">
        <v>40634</v>
      </c>
    </row>
    <row r="534" spans="1:5" x14ac:dyDescent="0.25">
      <c r="A534" t="s">
        <v>5</v>
      </c>
      <c r="B534" t="s">
        <v>9</v>
      </c>
      <c r="C534">
        <v>112.57</v>
      </c>
      <c r="D534">
        <v>112.07566</v>
      </c>
      <c r="E534" s="1">
        <v>40664</v>
      </c>
    </row>
    <row r="535" spans="1:5" x14ac:dyDescent="0.25">
      <c r="A535" t="s">
        <v>5</v>
      </c>
      <c r="B535" t="s">
        <v>9</v>
      </c>
      <c r="C535">
        <v>111.92</v>
      </c>
      <c r="D535">
        <v>110.654</v>
      </c>
      <c r="E535" s="1">
        <v>40695</v>
      </c>
    </row>
    <row r="536" spans="1:5" x14ac:dyDescent="0.25">
      <c r="A536" t="s">
        <v>5</v>
      </c>
      <c r="B536" t="s">
        <v>9</v>
      </c>
      <c r="C536">
        <v>112.49</v>
      </c>
      <c r="D536">
        <v>112.63746</v>
      </c>
      <c r="E536" s="1">
        <v>40725</v>
      </c>
    </row>
    <row r="537" spans="1:5" x14ac:dyDescent="0.25">
      <c r="A537" t="s">
        <v>5</v>
      </c>
      <c r="B537" t="s">
        <v>9</v>
      </c>
      <c r="C537">
        <v>115.34</v>
      </c>
      <c r="D537">
        <v>115.17283999999999</v>
      </c>
      <c r="E537" s="1">
        <v>40756</v>
      </c>
    </row>
    <row r="538" spans="1:5" x14ac:dyDescent="0.25">
      <c r="A538" t="s">
        <v>5</v>
      </c>
      <c r="B538" t="s">
        <v>9</v>
      </c>
      <c r="C538">
        <v>114.11</v>
      </c>
      <c r="D538">
        <v>113.86852</v>
      </c>
      <c r="E538" s="1">
        <v>40787</v>
      </c>
    </row>
    <row r="539" spans="1:5" x14ac:dyDescent="0.25">
      <c r="A539" t="s">
        <v>5</v>
      </c>
      <c r="B539" t="s">
        <v>9</v>
      </c>
      <c r="C539">
        <v>111.43</v>
      </c>
      <c r="D539">
        <v>112.61778</v>
      </c>
      <c r="E539" s="1">
        <v>40817</v>
      </c>
    </row>
    <row r="540" spans="1:5" x14ac:dyDescent="0.25">
      <c r="A540" t="s">
        <v>5</v>
      </c>
      <c r="B540" t="s">
        <v>9</v>
      </c>
      <c r="C540">
        <v>115.62</v>
      </c>
      <c r="D540">
        <v>119.55535999999999</v>
      </c>
      <c r="E540" s="1">
        <v>40848</v>
      </c>
    </row>
    <row r="541" spans="1:5" x14ac:dyDescent="0.25">
      <c r="A541" t="s">
        <v>5</v>
      </c>
      <c r="B541" t="s">
        <v>9</v>
      </c>
      <c r="C541">
        <v>116.61</v>
      </c>
      <c r="D541">
        <v>131.91139000000001</v>
      </c>
      <c r="E541" s="1">
        <v>40878</v>
      </c>
    </row>
    <row r="542" spans="1:5" x14ac:dyDescent="0.25">
      <c r="A542" t="s">
        <v>5</v>
      </c>
      <c r="B542" t="s">
        <v>9</v>
      </c>
      <c r="C542">
        <v>116.92</v>
      </c>
      <c r="D542">
        <v>109.72083000000001</v>
      </c>
      <c r="E542" s="1">
        <v>40909</v>
      </c>
    </row>
    <row r="543" spans="1:5" x14ac:dyDescent="0.25">
      <c r="A543" t="s">
        <v>5</v>
      </c>
      <c r="B543" t="s">
        <v>9</v>
      </c>
      <c r="C543">
        <v>117.09</v>
      </c>
      <c r="D543">
        <v>107.509</v>
      </c>
      <c r="E543" s="1">
        <v>40940</v>
      </c>
    </row>
    <row r="544" spans="1:5" x14ac:dyDescent="0.25">
      <c r="A544" t="s">
        <v>5</v>
      </c>
      <c r="B544" t="s">
        <v>9</v>
      </c>
      <c r="C544">
        <v>119.11</v>
      </c>
      <c r="D544">
        <v>119.58172999999999</v>
      </c>
      <c r="E544" s="1">
        <v>40969</v>
      </c>
    </row>
    <row r="545" spans="1:5" x14ac:dyDescent="0.25">
      <c r="A545" t="s">
        <v>5</v>
      </c>
      <c r="B545" t="s">
        <v>9</v>
      </c>
      <c r="C545">
        <v>117.14</v>
      </c>
      <c r="D545">
        <v>114.11166</v>
      </c>
      <c r="E545" s="1">
        <v>41000</v>
      </c>
    </row>
    <row r="546" spans="1:5" x14ac:dyDescent="0.25">
      <c r="A546" t="s">
        <v>5</v>
      </c>
      <c r="B546" t="s">
        <v>9</v>
      </c>
      <c r="C546">
        <v>117.99</v>
      </c>
      <c r="D546">
        <v>118.30074</v>
      </c>
      <c r="E546" s="1">
        <v>41030</v>
      </c>
    </row>
    <row r="547" spans="1:5" x14ac:dyDescent="0.25">
      <c r="A547" t="s">
        <v>5</v>
      </c>
      <c r="B547" t="s">
        <v>9</v>
      </c>
      <c r="C547">
        <v>118.36</v>
      </c>
      <c r="D547">
        <v>116.75896</v>
      </c>
      <c r="E547" s="1">
        <v>41061</v>
      </c>
    </row>
    <row r="548" spans="1:5" x14ac:dyDescent="0.25">
      <c r="A548" t="s">
        <v>5</v>
      </c>
      <c r="B548" t="s">
        <v>9</v>
      </c>
      <c r="C548">
        <v>118.84</v>
      </c>
      <c r="D548">
        <v>119.54995</v>
      </c>
      <c r="E548" s="1">
        <v>41091</v>
      </c>
    </row>
    <row r="549" spans="1:5" x14ac:dyDescent="0.25">
      <c r="A549" t="s">
        <v>5</v>
      </c>
      <c r="B549" t="s">
        <v>9</v>
      </c>
      <c r="C549">
        <v>118.93</v>
      </c>
      <c r="D549">
        <v>118.83508</v>
      </c>
      <c r="E549" s="1">
        <v>41122</v>
      </c>
    </row>
    <row r="550" spans="1:5" x14ac:dyDescent="0.25">
      <c r="A550" t="s">
        <v>5</v>
      </c>
      <c r="B550" t="s">
        <v>9</v>
      </c>
      <c r="C550">
        <v>117.33</v>
      </c>
      <c r="D550">
        <v>115.13236999999999</v>
      </c>
      <c r="E550" s="1">
        <v>41153</v>
      </c>
    </row>
    <row r="551" spans="1:5" x14ac:dyDescent="0.25">
      <c r="A551" t="s">
        <v>5</v>
      </c>
      <c r="B551" t="s">
        <v>9</v>
      </c>
      <c r="C551">
        <v>117.58</v>
      </c>
      <c r="D551">
        <v>120.56072</v>
      </c>
      <c r="E551" s="1">
        <v>41183</v>
      </c>
    </row>
    <row r="552" spans="1:5" x14ac:dyDescent="0.25">
      <c r="A552" t="s">
        <v>5</v>
      </c>
      <c r="B552" t="s">
        <v>9</v>
      </c>
      <c r="C552">
        <v>116.07</v>
      </c>
      <c r="D552">
        <v>120.37408000000001</v>
      </c>
      <c r="E552" s="1">
        <v>41214</v>
      </c>
    </row>
    <row r="553" spans="1:5" x14ac:dyDescent="0.25">
      <c r="A553" t="s">
        <v>5</v>
      </c>
      <c r="B553" t="s">
        <v>9</v>
      </c>
      <c r="C553">
        <v>119.72</v>
      </c>
      <c r="D553">
        <v>133.82919000000001</v>
      </c>
      <c r="E553" s="1">
        <v>41244</v>
      </c>
    </row>
    <row r="554" spans="1:5" x14ac:dyDescent="0.25">
      <c r="A554" t="s">
        <v>5</v>
      </c>
      <c r="B554" t="s">
        <v>9</v>
      </c>
      <c r="C554">
        <v>117.72</v>
      </c>
      <c r="D554">
        <v>111.22247</v>
      </c>
      <c r="E554" s="1">
        <v>41275</v>
      </c>
    </row>
    <row r="555" spans="1:5" x14ac:dyDescent="0.25">
      <c r="A555" t="s">
        <v>5</v>
      </c>
      <c r="B555" t="s">
        <v>9</v>
      </c>
      <c r="C555">
        <v>117.76</v>
      </c>
      <c r="D555">
        <v>108.65028</v>
      </c>
      <c r="E555" s="1">
        <v>41306</v>
      </c>
    </row>
    <row r="556" spans="1:5" x14ac:dyDescent="0.25">
      <c r="A556" t="s">
        <v>5</v>
      </c>
      <c r="B556" t="s">
        <v>9</v>
      </c>
      <c r="C556">
        <v>116.79</v>
      </c>
      <c r="D556">
        <v>114.57084999999999</v>
      </c>
      <c r="E556" s="1">
        <v>41334</v>
      </c>
    </row>
    <row r="557" spans="1:5" x14ac:dyDescent="0.25">
      <c r="A557" t="s">
        <v>5</v>
      </c>
      <c r="B557" t="s">
        <v>9</v>
      </c>
      <c r="C557">
        <v>118.78</v>
      </c>
      <c r="D557">
        <v>118.37548</v>
      </c>
      <c r="E557" s="1">
        <v>41365</v>
      </c>
    </row>
    <row r="558" spans="1:5" x14ac:dyDescent="0.25">
      <c r="A558" t="s">
        <v>5</v>
      </c>
      <c r="B558" t="s">
        <v>9</v>
      </c>
      <c r="C558">
        <v>117.44</v>
      </c>
      <c r="D558">
        <v>117.39870999999999</v>
      </c>
      <c r="E558" s="1">
        <v>41395</v>
      </c>
    </row>
    <row r="559" spans="1:5" x14ac:dyDescent="0.25">
      <c r="A559" t="s">
        <v>5</v>
      </c>
      <c r="B559" t="s">
        <v>9</v>
      </c>
      <c r="C559">
        <v>118.72</v>
      </c>
      <c r="D559">
        <v>116.27216</v>
      </c>
      <c r="E559" s="1">
        <v>41426</v>
      </c>
    </row>
    <row r="560" spans="1:5" x14ac:dyDescent="0.25">
      <c r="A560" t="s">
        <v>5</v>
      </c>
      <c r="B560" t="s">
        <v>9</v>
      </c>
      <c r="C560">
        <v>118.05</v>
      </c>
      <c r="D560">
        <v>119.68007</v>
      </c>
      <c r="E560" s="1">
        <v>41456</v>
      </c>
    </row>
    <row r="561" spans="1:5" x14ac:dyDescent="0.25">
      <c r="A561" t="s">
        <v>5</v>
      </c>
      <c r="B561" t="s">
        <v>9</v>
      </c>
      <c r="C561">
        <v>116.93</v>
      </c>
      <c r="D561">
        <v>116.39653</v>
      </c>
      <c r="E561" s="1">
        <v>41487</v>
      </c>
    </row>
    <row r="562" spans="1:5" x14ac:dyDescent="0.25">
      <c r="A562" t="s">
        <v>5</v>
      </c>
      <c r="B562" t="s">
        <v>9</v>
      </c>
      <c r="C562">
        <v>117.43</v>
      </c>
      <c r="D562">
        <v>116.17283</v>
      </c>
      <c r="E562" s="1">
        <v>41518</v>
      </c>
    </row>
    <row r="563" spans="1:5" x14ac:dyDescent="0.25">
      <c r="A563" t="s">
        <v>5</v>
      </c>
      <c r="B563" t="s">
        <v>9</v>
      </c>
      <c r="C563">
        <v>116.05</v>
      </c>
      <c r="D563">
        <v>119.17744</v>
      </c>
      <c r="E563" s="1">
        <v>41548</v>
      </c>
    </row>
    <row r="564" spans="1:5" x14ac:dyDescent="0.25">
      <c r="A564" t="s">
        <v>5</v>
      </c>
      <c r="B564" t="s">
        <v>9</v>
      </c>
      <c r="C564">
        <v>117.98</v>
      </c>
      <c r="D564">
        <v>121.63881000000001</v>
      </c>
      <c r="E564" s="1">
        <v>41579</v>
      </c>
    </row>
    <row r="565" spans="1:5" x14ac:dyDescent="0.25">
      <c r="A565" t="s">
        <v>5</v>
      </c>
      <c r="B565" t="s">
        <v>9</v>
      </c>
      <c r="C565">
        <v>117.28</v>
      </c>
      <c r="D565">
        <v>131.98163</v>
      </c>
      <c r="E565" s="1">
        <v>41609</v>
      </c>
    </row>
    <row r="566" spans="1:5" x14ac:dyDescent="0.25">
      <c r="A566" t="s">
        <v>5</v>
      </c>
      <c r="B566" t="s">
        <v>9</v>
      </c>
      <c r="C566">
        <v>118.57</v>
      </c>
      <c r="D566">
        <v>112.06854</v>
      </c>
      <c r="E566" s="1">
        <v>41640</v>
      </c>
    </row>
    <row r="567" spans="1:5" x14ac:dyDescent="0.25">
      <c r="A567" t="s">
        <v>5</v>
      </c>
      <c r="B567" t="s">
        <v>9</v>
      </c>
      <c r="C567">
        <v>117.57</v>
      </c>
      <c r="D567">
        <v>109.95158000000001</v>
      </c>
      <c r="E567" s="1">
        <v>41671</v>
      </c>
    </row>
    <row r="568" spans="1:5" x14ac:dyDescent="0.25">
      <c r="A568" t="s">
        <v>5</v>
      </c>
      <c r="B568" t="s">
        <v>9</v>
      </c>
      <c r="C568">
        <v>117.15</v>
      </c>
      <c r="D568">
        <v>114.65709</v>
      </c>
      <c r="E568" s="1">
        <v>41699</v>
      </c>
    </row>
    <row r="569" spans="1:5" x14ac:dyDescent="0.25">
      <c r="A569" t="s">
        <v>5</v>
      </c>
      <c r="B569" t="s">
        <v>9</v>
      </c>
      <c r="C569">
        <v>116.84</v>
      </c>
      <c r="D569">
        <v>114.61832</v>
      </c>
      <c r="E569" s="1">
        <v>41730</v>
      </c>
    </row>
    <row r="570" spans="1:5" x14ac:dyDescent="0.25">
      <c r="A570" t="s">
        <v>5</v>
      </c>
      <c r="B570" t="s">
        <v>9</v>
      </c>
      <c r="C570">
        <v>116.81</v>
      </c>
      <c r="D570">
        <v>116.8005</v>
      </c>
      <c r="E570" s="1">
        <v>41760</v>
      </c>
    </row>
    <row r="571" spans="1:5" x14ac:dyDescent="0.25">
      <c r="A571" t="s">
        <v>5</v>
      </c>
      <c r="B571" t="s">
        <v>9</v>
      </c>
      <c r="C571">
        <v>116.44</v>
      </c>
      <c r="D571">
        <v>114.35296</v>
      </c>
      <c r="E571" s="1">
        <v>41791</v>
      </c>
    </row>
    <row r="572" spans="1:5" x14ac:dyDescent="0.25">
      <c r="A572" t="s">
        <v>5</v>
      </c>
      <c r="B572" t="s">
        <v>9</v>
      </c>
      <c r="C572">
        <v>117.01</v>
      </c>
      <c r="D572">
        <v>118.4748</v>
      </c>
      <c r="E572" s="1">
        <v>41821</v>
      </c>
    </row>
    <row r="573" spans="1:5" x14ac:dyDescent="0.25">
      <c r="A573" t="s">
        <v>5</v>
      </c>
      <c r="B573" t="s">
        <v>9</v>
      </c>
      <c r="C573">
        <v>117.48</v>
      </c>
      <c r="D573">
        <v>115.87853</v>
      </c>
      <c r="E573" s="1">
        <v>41852</v>
      </c>
    </row>
    <row r="574" spans="1:5" x14ac:dyDescent="0.25">
      <c r="A574" t="s">
        <v>5</v>
      </c>
      <c r="B574" t="s">
        <v>9</v>
      </c>
      <c r="C574">
        <v>119.07</v>
      </c>
      <c r="D574">
        <v>119.05839</v>
      </c>
      <c r="E574" s="1">
        <v>41883</v>
      </c>
    </row>
    <row r="575" spans="1:5" x14ac:dyDescent="0.25">
      <c r="A575" t="s">
        <v>5</v>
      </c>
      <c r="B575" t="s">
        <v>9</v>
      </c>
      <c r="C575">
        <v>118.89</v>
      </c>
      <c r="D575">
        <v>122.52574</v>
      </c>
      <c r="E575" s="1">
        <v>41913</v>
      </c>
    </row>
    <row r="576" spans="1:5" x14ac:dyDescent="0.25">
      <c r="A576" t="s">
        <v>5</v>
      </c>
      <c r="B576" t="s">
        <v>9</v>
      </c>
      <c r="C576">
        <v>117.59</v>
      </c>
      <c r="D576">
        <v>119.96576</v>
      </c>
      <c r="E576" s="1">
        <v>41944</v>
      </c>
    </row>
    <row r="577" spans="1:5" x14ac:dyDescent="0.25">
      <c r="A577" t="s">
        <v>5</v>
      </c>
      <c r="B577" t="s">
        <v>9</v>
      </c>
      <c r="C577">
        <v>120.1</v>
      </c>
      <c r="D577">
        <v>135.69248999999999</v>
      </c>
      <c r="E577" s="1">
        <v>41974</v>
      </c>
    </row>
    <row r="578" spans="1:5" x14ac:dyDescent="0.25">
      <c r="A578" t="s">
        <v>5</v>
      </c>
      <c r="B578" t="s">
        <v>9</v>
      </c>
      <c r="C578">
        <v>116.7</v>
      </c>
      <c r="D578">
        <v>109.41358</v>
      </c>
      <c r="E578" s="1">
        <v>42005</v>
      </c>
    </row>
    <row r="579" spans="1:5" x14ac:dyDescent="0.25">
      <c r="A579" t="s">
        <v>5</v>
      </c>
      <c r="B579" t="s">
        <v>9</v>
      </c>
      <c r="C579">
        <v>114.75</v>
      </c>
      <c r="D579">
        <v>105.45135000000001</v>
      </c>
      <c r="E579" s="1">
        <v>42036</v>
      </c>
    </row>
    <row r="580" spans="1:5" x14ac:dyDescent="0.25">
      <c r="A580" t="s">
        <v>5</v>
      </c>
      <c r="B580" t="s">
        <v>9</v>
      </c>
      <c r="C580">
        <v>116.19</v>
      </c>
      <c r="D580">
        <v>115.69394</v>
      </c>
      <c r="E580" s="1">
        <v>42064</v>
      </c>
    </row>
    <row r="581" spans="1:5" x14ac:dyDescent="0.25">
      <c r="A581" t="s">
        <v>5</v>
      </c>
      <c r="B581" t="s">
        <v>9</v>
      </c>
      <c r="C581">
        <v>115.36</v>
      </c>
      <c r="D581">
        <v>113.20108</v>
      </c>
      <c r="E581" s="1">
        <v>42095</v>
      </c>
    </row>
    <row r="582" spans="1:5" x14ac:dyDescent="0.25">
      <c r="A582" t="s">
        <v>5</v>
      </c>
      <c r="B582" t="s">
        <v>9</v>
      </c>
      <c r="C582">
        <v>115.18</v>
      </c>
      <c r="D582">
        <v>114.00776999999999</v>
      </c>
      <c r="E582" s="1">
        <v>42125</v>
      </c>
    </row>
    <row r="583" spans="1:5" x14ac:dyDescent="0.25">
      <c r="A583" t="s">
        <v>5</v>
      </c>
      <c r="B583" t="s">
        <v>9</v>
      </c>
      <c r="C583">
        <v>113.87</v>
      </c>
      <c r="D583">
        <v>112.88484</v>
      </c>
      <c r="E583" s="1">
        <v>42156</v>
      </c>
    </row>
    <row r="584" spans="1:5" x14ac:dyDescent="0.25">
      <c r="A584" t="s">
        <v>5</v>
      </c>
      <c r="B584" t="s">
        <v>9</v>
      </c>
      <c r="C584">
        <v>112.23</v>
      </c>
      <c r="D584">
        <v>113.90226</v>
      </c>
      <c r="E584" s="1">
        <v>42186</v>
      </c>
    </row>
    <row r="585" spans="1:5" x14ac:dyDescent="0.25">
      <c r="A585" t="s">
        <v>5</v>
      </c>
      <c r="B585" t="s">
        <v>9</v>
      </c>
      <c r="C585">
        <v>111.49</v>
      </c>
      <c r="D585">
        <v>110.02291</v>
      </c>
      <c r="E585" s="1">
        <v>42217</v>
      </c>
    </row>
    <row r="586" spans="1:5" x14ac:dyDescent="0.25">
      <c r="A586" t="s">
        <v>5</v>
      </c>
      <c r="B586" t="s">
        <v>9</v>
      </c>
      <c r="C586">
        <v>109.43</v>
      </c>
      <c r="D586">
        <v>109.3964</v>
      </c>
      <c r="E586" s="1">
        <v>42248</v>
      </c>
    </row>
    <row r="587" spans="1:5" x14ac:dyDescent="0.25">
      <c r="A587" t="s">
        <v>5</v>
      </c>
      <c r="B587" t="s">
        <v>9</v>
      </c>
      <c r="C587">
        <v>110.18</v>
      </c>
      <c r="D587">
        <v>113.59157999999999</v>
      </c>
      <c r="E587" s="1">
        <v>42278</v>
      </c>
    </row>
    <row r="588" spans="1:5" x14ac:dyDescent="0.25">
      <c r="A588" t="s">
        <v>5</v>
      </c>
      <c r="B588" t="s">
        <v>9</v>
      </c>
      <c r="C588">
        <v>108.73</v>
      </c>
      <c r="D588">
        <v>111.98497</v>
      </c>
      <c r="E588" s="1">
        <v>42309</v>
      </c>
    </row>
    <row r="589" spans="1:5" x14ac:dyDescent="0.25">
      <c r="A589" t="s">
        <v>5</v>
      </c>
      <c r="B589" t="s">
        <v>9</v>
      </c>
      <c r="C589">
        <v>108.47</v>
      </c>
      <c r="D589">
        <v>123.80345</v>
      </c>
      <c r="E589" s="1">
        <v>42339</v>
      </c>
    </row>
    <row r="590" spans="1:5" x14ac:dyDescent="0.25">
      <c r="A590" t="s">
        <v>5</v>
      </c>
      <c r="B590" t="s">
        <v>9</v>
      </c>
      <c r="C590">
        <v>108.22</v>
      </c>
      <c r="D590">
        <v>99.451949999999997</v>
      </c>
      <c r="E590" s="1">
        <v>42370</v>
      </c>
    </row>
    <row r="591" spans="1:5" x14ac:dyDescent="0.25">
      <c r="A591" t="s">
        <v>5</v>
      </c>
      <c r="B591" t="s">
        <v>9</v>
      </c>
      <c r="C591">
        <v>110.51</v>
      </c>
      <c r="D591">
        <v>100.94571999999999</v>
      </c>
      <c r="E591" s="1">
        <v>42401</v>
      </c>
    </row>
    <row r="592" spans="1:5" x14ac:dyDescent="0.25">
      <c r="A592" t="s">
        <v>5</v>
      </c>
      <c r="B592" t="s">
        <v>9</v>
      </c>
      <c r="C592">
        <v>109.37</v>
      </c>
      <c r="D592">
        <v>107.81401</v>
      </c>
      <c r="E592" s="1">
        <v>42430</v>
      </c>
    </row>
    <row r="593" spans="1:5" x14ac:dyDescent="0.25">
      <c r="A593" t="s">
        <v>5</v>
      </c>
      <c r="B593" t="s">
        <v>9</v>
      </c>
      <c r="C593">
        <v>108.03</v>
      </c>
      <c r="D593">
        <v>107.13748</v>
      </c>
      <c r="E593" s="1">
        <v>42461</v>
      </c>
    </row>
    <row r="594" spans="1:5" x14ac:dyDescent="0.25">
      <c r="A594" t="s">
        <v>5</v>
      </c>
      <c r="B594" t="s">
        <v>9</v>
      </c>
      <c r="C594">
        <v>107.27</v>
      </c>
      <c r="D594">
        <v>105.16628</v>
      </c>
      <c r="E594" s="1">
        <v>42491</v>
      </c>
    </row>
    <row r="595" spans="1:5" x14ac:dyDescent="0.25">
      <c r="A595" t="s">
        <v>5</v>
      </c>
      <c r="B595" t="s">
        <v>9</v>
      </c>
      <c r="C595">
        <v>105.8</v>
      </c>
      <c r="D595">
        <v>106.25230999999999</v>
      </c>
      <c r="E595" s="1">
        <v>42522</v>
      </c>
    </row>
    <row r="596" spans="1:5" x14ac:dyDescent="0.25">
      <c r="A596" t="s">
        <v>5</v>
      </c>
      <c r="B596" t="s">
        <v>9</v>
      </c>
      <c r="C596">
        <v>108.27</v>
      </c>
      <c r="D596">
        <v>108.20851999999999</v>
      </c>
      <c r="E596" s="1">
        <v>42552</v>
      </c>
    </row>
    <row r="597" spans="1:5" x14ac:dyDescent="0.25">
      <c r="A597" t="s">
        <v>5</v>
      </c>
      <c r="B597" t="s">
        <v>9</v>
      </c>
      <c r="C597">
        <v>105.69</v>
      </c>
      <c r="D597">
        <v>105.91784</v>
      </c>
      <c r="E597" s="1">
        <v>42583</v>
      </c>
    </row>
    <row r="598" spans="1:5" x14ac:dyDescent="0.25">
      <c r="A598" t="s">
        <v>5</v>
      </c>
      <c r="B598" t="s">
        <v>9</v>
      </c>
      <c r="C598">
        <v>104.53</v>
      </c>
      <c r="D598">
        <v>105.26854</v>
      </c>
      <c r="E598" s="1">
        <v>42614</v>
      </c>
    </row>
    <row r="599" spans="1:5" x14ac:dyDescent="0.25">
      <c r="A599" t="s">
        <v>5</v>
      </c>
      <c r="B599" t="s">
        <v>9</v>
      </c>
      <c r="C599">
        <v>104.74</v>
      </c>
      <c r="D599">
        <v>107.14033999999999</v>
      </c>
      <c r="E599" s="1">
        <v>42644</v>
      </c>
    </row>
    <row r="600" spans="1:5" x14ac:dyDescent="0.25">
      <c r="A600" t="s">
        <v>5</v>
      </c>
      <c r="B600" t="s">
        <v>9</v>
      </c>
      <c r="C600">
        <v>103.85</v>
      </c>
      <c r="D600">
        <v>107.97213000000001</v>
      </c>
      <c r="E600" s="1">
        <v>42675</v>
      </c>
    </row>
    <row r="601" spans="1:5" x14ac:dyDescent="0.25">
      <c r="A601" t="s">
        <v>5</v>
      </c>
      <c r="B601" t="s">
        <v>9</v>
      </c>
      <c r="C601">
        <v>102.9</v>
      </c>
      <c r="D601">
        <v>117.79062</v>
      </c>
      <c r="E601" s="1">
        <v>42705</v>
      </c>
    </row>
    <row r="602" spans="1:5" x14ac:dyDescent="0.25">
      <c r="A602" t="s">
        <v>5</v>
      </c>
      <c r="B602" t="s">
        <v>9</v>
      </c>
      <c r="C602">
        <v>101.21</v>
      </c>
      <c r="D602">
        <v>92.728250000000003</v>
      </c>
      <c r="E602" s="1">
        <v>42736</v>
      </c>
    </row>
    <row r="603" spans="1:5" x14ac:dyDescent="0.25">
      <c r="A603" t="s">
        <v>5</v>
      </c>
      <c r="B603" t="s">
        <v>9</v>
      </c>
      <c r="C603">
        <v>99.09</v>
      </c>
      <c r="D603">
        <v>89.651009999999999</v>
      </c>
      <c r="E603" s="1">
        <v>42767</v>
      </c>
    </row>
    <row r="604" spans="1:5" x14ac:dyDescent="0.25">
      <c r="A604" t="s">
        <v>5</v>
      </c>
      <c r="B604" t="s">
        <v>9</v>
      </c>
      <c r="C604">
        <v>97.06</v>
      </c>
      <c r="D604">
        <v>96.987849999999995</v>
      </c>
      <c r="E604" s="1">
        <v>42795</v>
      </c>
    </row>
    <row r="605" spans="1:5" x14ac:dyDescent="0.25">
      <c r="A605" t="s">
        <v>5</v>
      </c>
      <c r="B605" t="s">
        <v>9</v>
      </c>
      <c r="C605">
        <v>98.55</v>
      </c>
      <c r="D605">
        <v>94.890289999999993</v>
      </c>
      <c r="E605" s="1">
        <v>42826</v>
      </c>
    </row>
    <row r="606" spans="1:5" x14ac:dyDescent="0.25">
      <c r="A606" t="s">
        <v>5</v>
      </c>
      <c r="B606" t="s">
        <v>9</v>
      </c>
      <c r="C606">
        <v>98.99</v>
      </c>
      <c r="D606">
        <v>99.574860000000001</v>
      </c>
      <c r="E606" s="1">
        <v>42856</v>
      </c>
    </row>
    <row r="607" spans="1:5" x14ac:dyDescent="0.25">
      <c r="A607" t="s">
        <v>5</v>
      </c>
      <c r="B607" t="s">
        <v>9</v>
      </c>
      <c r="C607">
        <v>100.03</v>
      </c>
      <c r="D607">
        <v>99.254890000000003</v>
      </c>
      <c r="E607" s="1">
        <v>42887</v>
      </c>
    </row>
    <row r="608" spans="1:5" x14ac:dyDescent="0.25">
      <c r="A608" t="s">
        <v>5</v>
      </c>
      <c r="B608" t="s">
        <v>9</v>
      </c>
      <c r="C608">
        <v>100.04</v>
      </c>
      <c r="D608">
        <v>99.807860000000005</v>
      </c>
      <c r="E608" s="1">
        <v>42917</v>
      </c>
    </row>
    <row r="609" spans="1:5" x14ac:dyDescent="0.25">
      <c r="A609" t="s">
        <v>5</v>
      </c>
      <c r="B609" t="s">
        <v>9</v>
      </c>
      <c r="C609">
        <v>98.85</v>
      </c>
      <c r="D609">
        <v>99.005369999999999</v>
      </c>
      <c r="E609" s="1">
        <v>42948</v>
      </c>
    </row>
    <row r="610" spans="1:5" x14ac:dyDescent="0.25">
      <c r="A610" t="s">
        <v>5</v>
      </c>
      <c r="B610" t="s">
        <v>9</v>
      </c>
      <c r="C610">
        <v>98.2</v>
      </c>
      <c r="D610">
        <v>98.606629999999996</v>
      </c>
      <c r="E610" s="1">
        <v>42979</v>
      </c>
    </row>
    <row r="611" spans="1:5" x14ac:dyDescent="0.25">
      <c r="A611" t="s">
        <v>5</v>
      </c>
      <c r="B611" t="s">
        <v>9</v>
      </c>
      <c r="C611">
        <v>97.32</v>
      </c>
      <c r="D611">
        <v>100.30302</v>
      </c>
      <c r="E611" s="1">
        <v>43009</v>
      </c>
    </row>
    <row r="612" spans="1:5" x14ac:dyDescent="0.25">
      <c r="A612" t="s">
        <v>5</v>
      </c>
      <c r="B612" t="s">
        <v>9</v>
      </c>
      <c r="C612">
        <v>97.19</v>
      </c>
      <c r="D612">
        <v>101.58642</v>
      </c>
      <c r="E612" s="1">
        <v>43040</v>
      </c>
    </row>
    <row r="613" spans="1:5" x14ac:dyDescent="0.25">
      <c r="A613" t="s">
        <v>5</v>
      </c>
      <c r="B613" t="s">
        <v>9</v>
      </c>
      <c r="C613">
        <v>100.12</v>
      </c>
      <c r="D613">
        <v>113.66382</v>
      </c>
      <c r="E613" s="1">
        <v>43070</v>
      </c>
    </row>
    <row r="614" spans="1:5" x14ac:dyDescent="0.25">
      <c r="A614" t="s">
        <v>5</v>
      </c>
      <c r="B614" t="s">
        <v>9</v>
      </c>
      <c r="C614">
        <v>97.09</v>
      </c>
      <c r="D614">
        <v>89.473140000000001</v>
      </c>
      <c r="E614" s="1">
        <v>43101</v>
      </c>
    </row>
    <row r="615" spans="1:5" x14ac:dyDescent="0.25">
      <c r="A615" t="s">
        <v>5</v>
      </c>
      <c r="B615" t="s">
        <v>9</v>
      </c>
      <c r="C615">
        <v>97.69</v>
      </c>
      <c r="D615">
        <v>88.271450000000002</v>
      </c>
      <c r="E615" s="1">
        <v>43132</v>
      </c>
    </row>
    <row r="616" spans="1:5" x14ac:dyDescent="0.25">
      <c r="A616" t="s">
        <v>5</v>
      </c>
      <c r="B616" t="s">
        <v>9</v>
      </c>
      <c r="C616">
        <v>96.81</v>
      </c>
      <c r="D616">
        <v>94.392120000000006</v>
      </c>
      <c r="E616" s="1">
        <v>43160</v>
      </c>
    </row>
    <row r="617" spans="1:5" x14ac:dyDescent="0.25">
      <c r="A617" t="s">
        <v>5</v>
      </c>
      <c r="B617" t="s">
        <v>9</v>
      </c>
      <c r="C617">
        <v>97.89</v>
      </c>
      <c r="D617">
        <v>96.610020000000006</v>
      </c>
      <c r="E617" s="1">
        <v>43191</v>
      </c>
    </row>
    <row r="618" spans="1:5" x14ac:dyDescent="0.25">
      <c r="A618" t="s">
        <v>5</v>
      </c>
      <c r="B618" t="s">
        <v>9</v>
      </c>
      <c r="C618">
        <v>96.15</v>
      </c>
      <c r="D618">
        <v>96.559610000000006</v>
      </c>
      <c r="E618" s="1">
        <v>43221</v>
      </c>
    </row>
    <row r="619" spans="1:5" x14ac:dyDescent="0.25">
      <c r="A619" t="s">
        <v>5</v>
      </c>
      <c r="B619" t="s">
        <v>9</v>
      </c>
      <c r="C619">
        <v>96.94</v>
      </c>
      <c r="D619">
        <v>95.747839999999997</v>
      </c>
      <c r="E619" s="1">
        <v>43252</v>
      </c>
    </row>
    <row r="620" spans="1:5" x14ac:dyDescent="0.25">
      <c r="A620" t="s">
        <v>5</v>
      </c>
      <c r="B620" t="s">
        <v>9</v>
      </c>
      <c r="C620">
        <v>96.74</v>
      </c>
      <c r="D620">
        <v>97.029079999999993</v>
      </c>
      <c r="E620" s="1">
        <v>43282</v>
      </c>
    </row>
    <row r="621" spans="1:5" x14ac:dyDescent="0.25">
      <c r="A621" t="s">
        <v>5</v>
      </c>
      <c r="B621" t="s">
        <v>9</v>
      </c>
      <c r="C621">
        <v>99.07</v>
      </c>
      <c r="D621">
        <v>99.529380000000003</v>
      </c>
      <c r="E621" s="1">
        <v>43313</v>
      </c>
    </row>
    <row r="622" spans="1:5" x14ac:dyDescent="0.25">
      <c r="A622" t="s">
        <v>5</v>
      </c>
      <c r="B622" t="s">
        <v>9</v>
      </c>
      <c r="C622">
        <v>97.2</v>
      </c>
      <c r="D622">
        <v>96.541669999999996</v>
      </c>
      <c r="E622" s="1">
        <v>43344</v>
      </c>
    </row>
    <row r="623" spans="1:5" x14ac:dyDescent="0.25">
      <c r="A623" t="s">
        <v>5</v>
      </c>
      <c r="B623" t="s">
        <v>9</v>
      </c>
      <c r="C623">
        <v>96.55</v>
      </c>
      <c r="D623">
        <v>100.1279</v>
      </c>
      <c r="E623" s="1">
        <v>43374</v>
      </c>
    </row>
    <row r="624" spans="1:5" x14ac:dyDescent="0.25">
      <c r="A624" t="s">
        <v>5</v>
      </c>
      <c r="B624" t="s">
        <v>9</v>
      </c>
      <c r="C624">
        <v>95.63</v>
      </c>
      <c r="D624">
        <v>100.5778</v>
      </c>
      <c r="E624" s="1">
        <v>43405</v>
      </c>
    </row>
    <row r="625" spans="1:5" x14ac:dyDescent="0.25">
      <c r="A625" t="s">
        <v>5</v>
      </c>
      <c r="B625" t="s">
        <v>9</v>
      </c>
      <c r="C625">
        <v>96.11</v>
      </c>
      <c r="D625">
        <v>109.46733</v>
      </c>
      <c r="E625" s="1">
        <v>43435</v>
      </c>
    </row>
    <row r="626" spans="1:5" x14ac:dyDescent="0.25">
      <c r="A626" t="s">
        <v>5</v>
      </c>
      <c r="B626" t="s">
        <v>9</v>
      </c>
      <c r="C626">
        <v>96.62</v>
      </c>
      <c r="D626">
        <v>88.915850000000006</v>
      </c>
      <c r="E626" s="1">
        <v>43466</v>
      </c>
    </row>
    <row r="627" spans="1:5" x14ac:dyDescent="0.25">
      <c r="A627" t="s">
        <v>5</v>
      </c>
      <c r="B627" t="s">
        <v>9</v>
      </c>
      <c r="C627">
        <v>96.65</v>
      </c>
      <c r="D627">
        <v>89.575280000000006</v>
      </c>
      <c r="E627" s="1">
        <v>43497</v>
      </c>
    </row>
    <row r="628" spans="1:5" x14ac:dyDescent="0.25">
      <c r="A628" t="s">
        <v>5</v>
      </c>
      <c r="B628" t="s">
        <v>9</v>
      </c>
      <c r="C628">
        <v>96.18</v>
      </c>
      <c r="D628">
        <v>91.833789999999993</v>
      </c>
      <c r="E628" s="1">
        <v>43525</v>
      </c>
    </row>
    <row r="629" spans="1:5" x14ac:dyDescent="0.25">
      <c r="A629" t="s">
        <v>5</v>
      </c>
      <c r="B629" t="s">
        <v>9</v>
      </c>
      <c r="C629">
        <v>97.63</v>
      </c>
      <c r="D629">
        <v>95.887510000000006</v>
      </c>
      <c r="E629" s="1">
        <v>43556</v>
      </c>
    </row>
    <row r="630" spans="1:5" x14ac:dyDescent="0.25">
      <c r="A630" t="s">
        <v>5</v>
      </c>
      <c r="B630" t="s">
        <v>9</v>
      </c>
      <c r="C630">
        <v>97.54</v>
      </c>
      <c r="D630">
        <v>98.104470000000006</v>
      </c>
      <c r="E630" s="1">
        <v>43586</v>
      </c>
    </row>
    <row r="631" spans="1:5" x14ac:dyDescent="0.25">
      <c r="A631" t="s">
        <v>5</v>
      </c>
      <c r="B631" t="s">
        <v>9</v>
      </c>
      <c r="C631">
        <v>97.11</v>
      </c>
      <c r="D631">
        <v>94.823620000000005</v>
      </c>
      <c r="E631" s="1">
        <v>43617</v>
      </c>
    </row>
    <row r="632" spans="1:5" x14ac:dyDescent="0.25">
      <c r="A632" t="s">
        <v>5</v>
      </c>
      <c r="B632" t="s">
        <v>9</v>
      </c>
      <c r="C632">
        <v>96.86</v>
      </c>
      <c r="D632">
        <v>97.924449999999993</v>
      </c>
      <c r="E632" s="1">
        <v>43647</v>
      </c>
    </row>
    <row r="633" spans="1:5" x14ac:dyDescent="0.25">
      <c r="A633" t="s">
        <v>5</v>
      </c>
      <c r="B633" t="s">
        <v>9</v>
      </c>
      <c r="C633">
        <v>97.03</v>
      </c>
      <c r="D633">
        <v>97.065880000000007</v>
      </c>
      <c r="E633" s="1">
        <v>43678</v>
      </c>
    </row>
    <row r="634" spans="1:5" x14ac:dyDescent="0.25">
      <c r="A634" t="s">
        <v>5</v>
      </c>
      <c r="B634" t="s">
        <v>9</v>
      </c>
      <c r="C634">
        <v>99.25</v>
      </c>
      <c r="D634">
        <v>99.649569999999997</v>
      </c>
      <c r="E634" s="1">
        <v>43709</v>
      </c>
    </row>
    <row r="635" spans="1:5" x14ac:dyDescent="0.25">
      <c r="A635" t="s">
        <v>5</v>
      </c>
      <c r="B635" t="s">
        <v>9</v>
      </c>
      <c r="C635">
        <v>99.86</v>
      </c>
      <c r="D635">
        <v>102.77817</v>
      </c>
      <c r="E635" s="1">
        <v>43739</v>
      </c>
    </row>
    <row r="636" spans="1:5" x14ac:dyDescent="0.25">
      <c r="A636" t="s">
        <v>5</v>
      </c>
      <c r="B636" t="s">
        <v>9</v>
      </c>
      <c r="C636">
        <v>99.36</v>
      </c>
      <c r="D636">
        <v>103.6752</v>
      </c>
      <c r="E636" s="1">
        <v>43770</v>
      </c>
    </row>
    <row r="637" spans="1:5" x14ac:dyDescent="0.25">
      <c r="A637" t="s">
        <v>5</v>
      </c>
      <c r="B637" t="s">
        <v>9</v>
      </c>
      <c r="C637">
        <v>97.36</v>
      </c>
      <c r="D637">
        <v>111.25587</v>
      </c>
      <c r="E637" s="1">
        <v>43800</v>
      </c>
    </row>
    <row r="638" spans="1:5" x14ac:dyDescent="0.25">
      <c r="A638" t="s">
        <v>5</v>
      </c>
      <c r="B638" t="s">
        <v>9</v>
      </c>
      <c r="C638">
        <v>96.11</v>
      </c>
      <c r="D638">
        <v>88.921850000000006</v>
      </c>
      <c r="E638" s="1">
        <v>43831</v>
      </c>
    </row>
    <row r="639" spans="1:5" x14ac:dyDescent="0.25">
      <c r="A639" t="s">
        <v>5</v>
      </c>
      <c r="B639" t="s">
        <v>9</v>
      </c>
      <c r="C639">
        <v>96.55</v>
      </c>
      <c r="D639">
        <v>86.562269999999998</v>
      </c>
      <c r="E639" s="1">
        <v>43862</v>
      </c>
    </row>
    <row r="640" spans="1:5" x14ac:dyDescent="0.25">
      <c r="A640" t="s">
        <v>5</v>
      </c>
      <c r="B640" t="s">
        <v>9</v>
      </c>
      <c r="C640">
        <v>90.02</v>
      </c>
      <c r="D640">
        <v>88.442239999999998</v>
      </c>
      <c r="E640" s="1">
        <v>43891</v>
      </c>
    </row>
    <row r="641" spans="1:5" x14ac:dyDescent="0.25">
      <c r="A641" t="s">
        <v>5</v>
      </c>
      <c r="B641" t="s">
        <v>9</v>
      </c>
      <c r="C641">
        <v>81.22</v>
      </c>
      <c r="D641">
        <v>79.091059999999999</v>
      </c>
      <c r="E641" s="1">
        <v>43922</v>
      </c>
    </row>
    <row r="642" spans="1:5" x14ac:dyDescent="0.25">
      <c r="A642" t="s">
        <v>5</v>
      </c>
      <c r="B642" t="s">
        <v>9</v>
      </c>
      <c r="C642">
        <v>78.48</v>
      </c>
      <c r="D642">
        <v>77.176450000000003</v>
      </c>
      <c r="E642" s="1">
        <v>43952</v>
      </c>
    </row>
    <row r="643" spans="1:5" x14ac:dyDescent="0.25">
      <c r="A643" t="s">
        <v>5</v>
      </c>
      <c r="B643" t="s">
        <v>9</v>
      </c>
      <c r="C643">
        <v>79.83</v>
      </c>
      <c r="D643">
        <v>79.779499999999999</v>
      </c>
      <c r="E643" s="1">
        <v>43983</v>
      </c>
    </row>
    <row r="644" spans="1:5" x14ac:dyDescent="0.25">
      <c r="A644" t="s">
        <v>5</v>
      </c>
      <c r="B644" t="s">
        <v>9</v>
      </c>
      <c r="C644">
        <v>82.64</v>
      </c>
      <c r="D644">
        <v>83.512129999999999</v>
      </c>
      <c r="E644" s="1">
        <v>44013</v>
      </c>
    </row>
    <row r="645" spans="1:5" x14ac:dyDescent="0.25">
      <c r="A645" t="s">
        <v>5</v>
      </c>
      <c r="B645" t="s">
        <v>9</v>
      </c>
      <c r="C645">
        <v>84.38</v>
      </c>
      <c r="D645">
        <v>83.332070000000002</v>
      </c>
      <c r="E645" s="1">
        <v>44044</v>
      </c>
    </row>
    <row r="646" spans="1:5" x14ac:dyDescent="0.25">
      <c r="A646" t="s">
        <v>5</v>
      </c>
      <c r="B646" t="s">
        <v>9</v>
      </c>
      <c r="C646">
        <v>85.14</v>
      </c>
      <c r="D646">
        <v>86.372349999999997</v>
      </c>
      <c r="E646" s="1">
        <v>44075</v>
      </c>
    </row>
    <row r="647" spans="1:5" x14ac:dyDescent="0.25">
      <c r="A647" t="s">
        <v>5</v>
      </c>
      <c r="B647" t="s">
        <v>9</v>
      </c>
      <c r="C647">
        <v>86.77</v>
      </c>
      <c r="D647">
        <v>88.993309999999994</v>
      </c>
      <c r="E647" s="1">
        <v>44105</v>
      </c>
    </row>
    <row r="648" spans="1:5" x14ac:dyDescent="0.25">
      <c r="A648" t="s">
        <v>5</v>
      </c>
      <c r="B648" t="s">
        <v>9</v>
      </c>
      <c r="C648">
        <v>89.02</v>
      </c>
      <c r="D648">
        <v>92.885829999999999</v>
      </c>
      <c r="E648" s="1">
        <v>44136</v>
      </c>
    </row>
    <row r="649" spans="1:5" x14ac:dyDescent="0.25">
      <c r="A649" t="s">
        <v>5</v>
      </c>
      <c r="B649" t="s">
        <v>9</v>
      </c>
      <c r="C649">
        <v>88.11</v>
      </c>
      <c r="D649">
        <v>102.75664999999999</v>
      </c>
      <c r="E649" s="1">
        <v>44166</v>
      </c>
    </row>
    <row r="650" spans="1:5" x14ac:dyDescent="0.25">
      <c r="A650" t="s">
        <v>5</v>
      </c>
      <c r="B650" t="s">
        <v>9</v>
      </c>
      <c r="C650">
        <v>90.58</v>
      </c>
      <c r="D650">
        <v>82.024799999999999</v>
      </c>
      <c r="E650" s="1">
        <v>44197</v>
      </c>
    </row>
    <row r="651" spans="1:5" x14ac:dyDescent="0.25">
      <c r="A651" t="s">
        <v>5</v>
      </c>
      <c r="B651" t="s">
        <v>9</v>
      </c>
      <c r="C651">
        <v>93.44</v>
      </c>
      <c r="D651">
        <v>84.597859999999997</v>
      </c>
      <c r="E651" s="1">
        <v>44228</v>
      </c>
    </row>
    <row r="652" spans="1:5" x14ac:dyDescent="0.25">
      <c r="A652" t="s">
        <v>5</v>
      </c>
      <c r="B652" t="s">
        <v>9</v>
      </c>
      <c r="C652">
        <v>89.51</v>
      </c>
      <c r="D652">
        <v>89.329660000000004</v>
      </c>
      <c r="E652" s="1">
        <v>44256</v>
      </c>
    </row>
    <row r="653" spans="1:5" x14ac:dyDescent="0.25">
      <c r="A653" t="s">
        <v>5</v>
      </c>
      <c r="B653" t="s">
        <v>9</v>
      </c>
      <c r="C653">
        <v>90.66</v>
      </c>
      <c r="D653">
        <v>88.721800000000002</v>
      </c>
      <c r="E653" s="1">
        <v>44287</v>
      </c>
    </row>
    <row r="654" spans="1:5" x14ac:dyDescent="0.25">
      <c r="A654" t="s">
        <v>5</v>
      </c>
      <c r="B654" t="s">
        <v>9</v>
      </c>
      <c r="C654">
        <v>91.53</v>
      </c>
      <c r="D654">
        <v>89.778210000000001</v>
      </c>
      <c r="E654" s="1">
        <v>44317</v>
      </c>
    </row>
    <row r="655" spans="1:5" x14ac:dyDescent="0.25">
      <c r="A655" t="s">
        <v>5</v>
      </c>
      <c r="B655" t="s">
        <v>9</v>
      </c>
      <c r="C655">
        <v>93.22</v>
      </c>
      <c r="D655">
        <v>93.047160000000005</v>
      </c>
      <c r="E655" s="1">
        <v>44348</v>
      </c>
    </row>
    <row r="656" spans="1:5" x14ac:dyDescent="0.25">
      <c r="A656" t="s">
        <v>5</v>
      </c>
      <c r="B656" t="s">
        <v>9</v>
      </c>
      <c r="C656">
        <v>95.42</v>
      </c>
      <c r="D656">
        <v>95.552940000000007</v>
      </c>
      <c r="E656" s="1">
        <v>44378</v>
      </c>
    </row>
    <row r="657" spans="1:5" x14ac:dyDescent="0.25">
      <c r="A657" t="s">
        <v>5</v>
      </c>
      <c r="B657" t="s">
        <v>9</v>
      </c>
      <c r="C657">
        <v>94.36</v>
      </c>
      <c r="D657">
        <v>93.984380000000002</v>
      </c>
      <c r="E657" s="1">
        <v>44409</v>
      </c>
    </row>
    <row r="658" spans="1:5" x14ac:dyDescent="0.25">
      <c r="A658" t="s">
        <v>5</v>
      </c>
      <c r="B658" t="s">
        <v>9</v>
      </c>
      <c r="C658">
        <v>93.74</v>
      </c>
      <c r="D658">
        <v>95.05198</v>
      </c>
      <c r="E658" s="1">
        <v>44440</v>
      </c>
    </row>
    <row r="659" spans="1:5" x14ac:dyDescent="0.25">
      <c r="A659" t="s">
        <v>5</v>
      </c>
      <c r="B659" t="s">
        <v>9</v>
      </c>
      <c r="C659">
        <v>92.39</v>
      </c>
      <c r="D659">
        <v>93.174160000000001</v>
      </c>
      <c r="E659" s="1">
        <v>44470</v>
      </c>
    </row>
    <row r="660" spans="1:5" x14ac:dyDescent="0.25">
      <c r="A660" t="s">
        <v>5</v>
      </c>
      <c r="B660" t="s">
        <v>9</v>
      </c>
      <c r="C660">
        <v>92.58</v>
      </c>
      <c r="D660">
        <v>97.631489999999999</v>
      </c>
      <c r="E660" s="1">
        <v>44501</v>
      </c>
    </row>
    <row r="661" spans="1:5" x14ac:dyDescent="0.25">
      <c r="A661" t="s">
        <v>5</v>
      </c>
      <c r="B661" t="s">
        <v>9</v>
      </c>
      <c r="C661">
        <v>96.55</v>
      </c>
      <c r="D661">
        <v>111.46156999999999</v>
      </c>
      <c r="E661" s="1">
        <v>44531</v>
      </c>
    </row>
    <row r="662" spans="1:5" x14ac:dyDescent="0.25">
      <c r="A662" t="s">
        <v>5</v>
      </c>
      <c r="B662" t="s">
        <v>9</v>
      </c>
      <c r="C662">
        <v>96.49</v>
      </c>
      <c r="D662">
        <v>88.169079999999994</v>
      </c>
      <c r="E662" s="1">
        <v>44562</v>
      </c>
    </row>
    <row r="663" spans="1:5" x14ac:dyDescent="0.25">
      <c r="A663" t="s">
        <v>5</v>
      </c>
      <c r="B663" t="s">
        <v>9</v>
      </c>
      <c r="C663">
        <v>99.57</v>
      </c>
      <c r="D663">
        <v>90.715800000000002</v>
      </c>
      <c r="E663" s="1">
        <v>44593</v>
      </c>
    </row>
    <row r="664" spans="1:5" x14ac:dyDescent="0.25">
      <c r="A664" t="s">
        <v>5</v>
      </c>
      <c r="B664" t="s">
        <v>9</v>
      </c>
      <c r="C664">
        <v>97.81</v>
      </c>
      <c r="D664">
        <v>98.004180000000005</v>
      </c>
      <c r="E664" s="1">
        <v>44621</v>
      </c>
    </row>
    <row r="665" spans="1:5" x14ac:dyDescent="0.25">
      <c r="A665" t="s">
        <v>5</v>
      </c>
      <c r="B665" t="s">
        <v>9</v>
      </c>
      <c r="C665">
        <v>98.51</v>
      </c>
      <c r="D665">
        <v>95.672920000000005</v>
      </c>
      <c r="E665" s="1">
        <v>44652</v>
      </c>
    </row>
    <row r="666" spans="1:5" x14ac:dyDescent="0.25">
      <c r="A666" t="s">
        <v>5</v>
      </c>
      <c r="B666" t="s">
        <v>9</v>
      </c>
      <c r="C666">
        <v>100.18</v>
      </c>
      <c r="D666">
        <v>98.460539999999995</v>
      </c>
      <c r="E666" s="1">
        <v>44682</v>
      </c>
    </row>
    <row r="667" spans="1:5" x14ac:dyDescent="0.25">
      <c r="A667" t="s">
        <v>5</v>
      </c>
      <c r="B667" t="s">
        <v>9</v>
      </c>
      <c r="C667">
        <v>100.67</v>
      </c>
      <c r="D667">
        <v>100.77307</v>
      </c>
      <c r="E667" s="1">
        <v>44713</v>
      </c>
    </row>
    <row r="668" spans="1:5" x14ac:dyDescent="0.25">
      <c r="A668" t="s">
        <v>5</v>
      </c>
      <c r="B668" t="s">
        <v>9</v>
      </c>
      <c r="C668">
        <v>100.66</v>
      </c>
      <c r="D668">
        <v>99.493099999999998</v>
      </c>
      <c r="E668" s="1">
        <v>44743</v>
      </c>
    </row>
    <row r="669" spans="1:5" x14ac:dyDescent="0.25">
      <c r="A669" t="s">
        <v>5</v>
      </c>
      <c r="B669" t="s">
        <v>9</v>
      </c>
      <c r="C669">
        <v>100.51</v>
      </c>
      <c r="D669">
        <v>101.14089</v>
      </c>
      <c r="E669" s="1">
        <v>44774</v>
      </c>
    </row>
    <row r="670" spans="1:5" x14ac:dyDescent="0.25">
      <c r="A670" t="s">
        <v>5</v>
      </c>
      <c r="B670" t="s">
        <v>9</v>
      </c>
      <c r="C670">
        <v>100.66</v>
      </c>
      <c r="D670">
        <v>102.38397999999999</v>
      </c>
      <c r="E670" s="1">
        <v>44805</v>
      </c>
    </row>
    <row r="671" spans="1:5" x14ac:dyDescent="0.25">
      <c r="A671" t="s">
        <v>5</v>
      </c>
      <c r="B671" t="s">
        <v>9</v>
      </c>
      <c r="C671">
        <v>100.22</v>
      </c>
      <c r="D671">
        <v>100.87145</v>
      </c>
      <c r="E671" s="1">
        <v>44835</v>
      </c>
    </row>
    <row r="672" spans="1:5" x14ac:dyDescent="0.25">
      <c r="A672" t="s">
        <v>5</v>
      </c>
      <c r="B672" t="s">
        <v>9</v>
      </c>
      <c r="C672">
        <v>99.81</v>
      </c>
      <c r="D672">
        <v>104.55056999999999</v>
      </c>
      <c r="E672" s="1">
        <v>44866</v>
      </c>
    </row>
    <row r="673" spans="1:5" x14ac:dyDescent="0.25">
      <c r="A673" t="s">
        <v>5</v>
      </c>
      <c r="B673" t="s">
        <v>9</v>
      </c>
      <c r="C673">
        <v>105.21</v>
      </c>
      <c r="D673">
        <v>119.76442</v>
      </c>
      <c r="E673" s="1">
        <v>44896</v>
      </c>
    </row>
    <row r="674" spans="1:5" x14ac:dyDescent="0.25">
      <c r="A674" t="s">
        <v>5</v>
      </c>
      <c r="B674" t="s">
        <v>9</v>
      </c>
      <c r="C674">
        <v>102.13</v>
      </c>
      <c r="D674">
        <v>94.490129999999994</v>
      </c>
      <c r="E674" s="1">
        <v>44927</v>
      </c>
    </row>
    <row r="675" spans="1:5" x14ac:dyDescent="0.25">
      <c r="A675" t="s">
        <v>5</v>
      </c>
      <c r="B675" t="s">
        <v>9</v>
      </c>
      <c r="C675">
        <v>101.63</v>
      </c>
      <c r="D675">
        <v>92.744389999999996</v>
      </c>
      <c r="E675" s="1">
        <v>44958</v>
      </c>
    </row>
    <row r="676" spans="1:5" x14ac:dyDescent="0.25">
      <c r="A676" t="s">
        <v>5</v>
      </c>
      <c r="B676" t="s">
        <v>9</v>
      </c>
      <c r="C676">
        <v>103.27</v>
      </c>
      <c r="D676">
        <v>104.24687</v>
      </c>
      <c r="E676" s="1">
        <v>44986</v>
      </c>
    </row>
    <row r="677" spans="1:5" x14ac:dyDescent="0.25">
      <c r="A677" t="s">
        <v>5</v>
      </c>
      <c r="B677" t="s">
        <v>9</v>
      </c>
      <c r="C677">
        <v>104.57</v>
      </c>
      <c r="D677">
        <v>100.16611</v>
      </c>
      <c r="E677" s="1">
        <v>45017</v>
      </c>
    </row>
    <row r="678" spans="1:5" x14ac:dyDescent="0.25">
      <c r="A678" t="s">
        <v>5</v>
      </c>
      <c r="B678" t="s">
        <v>9</v>
      </c>
      <c r="C678">
        <v>103.73</v>
      </c>
      <c r="D678">
        <v>102.4298</v>
      </c>
      <c r="E678" s="1">
        <v>45047</v>
      </c>
    </row>
    <row r="679" spans="1:5" x14ac:dyDescent="0.25">
      <c r="A679" t="s">
        <v>5</v>
      </c>
      <c r="B679" t="s">
        <v>9</v>
      </c>
      <c r="C679">
        <v>104.27</v>
      </c>
      <c r="D679">
        <v>104.86484</v>
      </c>
      <c r="E679" s="1">
        <v>45078</v>
      </c>
    </row>
    <row r="680" spans="1:5" x14ac:dyDescent="0.25">
      <c r="A680" t="s">
        <v>5</v>
      </c>
      <c r="B680" t="s">
        <v>9</v>
      </c>
      <c r="C680">
        <v>104.42</v>
      </c>
      <c r="D680">
        <v>103.09705</v>
      </c>
      <c r="E680" s="1">
        <v>45108</v>
      </c>
    </row>
    <row r="681" spans="1:5" x14ac:dyDescent="0.25">
      <c r="A681" t="s">
        <v>5</v>
      </c>
      <c r="B681" t="s">
        <v>9</v>
      </c>
      <c r="C681">
        <v>109.86</v>
      </c>
      <c r="D681">
        <v>110.32728</v>
      </c>
      <c r="E681" s="1">
        <v>45139</v>
      </c>
    </row>
    <row r="682" spans="1:5" x14ac:dyDescent="0.25">
      <c r="A682" t="s">
        <v>5</v>
      </c>
      <c r="B682" t="s">
        <v>9</v>
      </c>
      <c r="C682">
        <v>107.36</v>
      </c>
      <c r="D682">
        <v>108.5403</v>
      </c>
      <c r="E682" s="1">
        <v>45170</v>
      </c>
    </row>
    <row r="683" spans="1:5" x14ac:dyDescent="0.25">
      <c r="A683" t="s">
        <v>5</v>
      </c>
      <c r="B683" t="s">
        <v>9</v>
      </c>
      <c r="C683">
        <v>109.13</v>
      </c>
      <c r="D683">
        <v>110.49596</v>
      </c>
      <c r="E683" s="1">
        <v>45200</v>
      </c>
    </row>
    <row r="684" spans="1:5" x14ac:dyDescent="0.25">
      <c r="A684" t="s">
        <v>5</v>
      </c>
      <c r="B684" t="s">
        <v>9</v>
      </c>
      <c r="C684">
        <v>111.04</v>
      </c>
      <c r="D684">
        <v>115.82265</v>
      </c>
      <c r="E684" s="1">
        <v>45231</v>
      </c>
    </row>
    <row r="685" spans="1:5" x14ac:dyDescent="0.25">
      <c r="A685" t="s">
        <v>5</v>
      </c>
      <c r="B685" t="s">
        <v>9</v>
      </c>
      <c r="C685">
        <v>110.15</v>
      </c>
      <c r="D685">
        <v>123.68034</v>
      </c>
      <c r="E685" s="1">
        <v>45261</v>
      </c>
    </row>
    <row r="686" spans="1:5" x14ac:dyDescent="0.25">
      <c r="A686" t="s">
        <v>5</v>
      </c>
      <c r="B686" t="s">
        <v>9</v>
      </c>
      <c r="C686">
        <v>112.09</v>
      </c>
      <c r="D686">
        <v>105.36678000000001</v>
      </c>
      <c r="E686" s="1">
        <v>45292</v>
      </c>
    </row>
    <row r="687" spans="1:5" x14ac:dyDescent="0.25">
      <c r="A687" t="s">
        <v>5</v>
      </c>
      <c r="B687" t="s">
        <v>9</v>
      </c>
      <c r="C687">
        <v>111.23</v>
      </c>
      <c r="D687">
        <v>101.91647</v>
      </c>
      <c r="E687" s="1">
        <v>45323</v>
      </c>
    </row>
    <row r="688" spans="1:5" x14ac:dyDescent="0.25">
      <c r="A688" t="s">
        <v>5</v>
      </c>
      <c r="B688" t="s">
        <v>9</v>
      </c>
      <c r="C688">
        <v>113.16</v>
      </c>
      <c r="D688">
        <v>111.41083999999999</v>
      </c>
      <c r="E688" s="1">
        <v>45352</v>
      </c>
    </row>
    <row r="689" spans="1:5" x14ac:dyDescent="0.25">
      <c r="A689" t="s">
        <v>5</v>
      </c>
      <c r="B689" t="s">
        <v>9</v>
      </c>
      <c r="C689">
        <v>111.31</v>
      </c>
      <c r="D689">
        <v>110.2757</v>
      </c>
      <c r="E689" s="1">
        <v>45383</v>
      </c>
    </row>
    <row r="690" spans="1:5" x14ac:dyDescent="0.25">
      <c r="A690" t="s">
        <v>5</v>
      </c>
      <c r="B690" t="s">
        <v>9</v>
      </c>
      <c r="C690">
        <v>110.96</v>
      </c>
      <c r="D690">
        <v>108.75252999999999</v>
      </c>
      <c r="E690" s="1">
        <v>45413</v>
      </c>
    </row>
    <row r="691" spans="1:5" x14ac:dyDescent="0.25">
      <c r="A691" t="s">
        <v>5</v>
      </c>
      <c r="B691" t="s">
        <v>9</v>
      </c>
      <c r="C691">
        <v>113.02</v>
      </c>
      <c r="D691">
        <v>112.16127</v>
      </c>
      <c r="E691" s="1">
        <v>45444</v>
      </c>
    </row>
    <row r="692" spans="1:5" x14ac:dyDescent="0.25">
      <c r="A692" t="s">
        <v>5</v>
      </c>
      <c r="B692" t="s">
        <v>9</v>
      </c>
      <c r="C692">
        <v>112.76</v>
      </c>
      <c r="D692">
        <v>112.86597</v>
      </c>
      <c r="E692" s="1">
        <v>45474</v>
      </c>
    </row>
    <row r="693" spans="1:5" x14ac:dyDescent="0.25">
      <c r="A693" t="s">
        <v>5</v>
      </c>
      <c r="B693" t="s">
        <v>9</v>
      </c>
      <c r="C693">
        <v>112.37</v>
      </c>
      <c r="D693">
        <v>112.53843000000001</v>
      </c>
      <c r="E693" s="1">
        <v>45505</v>
      </c>
    </row>
    <row r="694" spans="1:5" x14ac:dyDescent="0.25">
      <c r="A694" t="s">
        <v>5</v>
      </c>
      <c r="B694" t="s">
        <v>9</v>
      </c>
      <c r="C694">
        <v>114.24</v>
      </c>
      <c r="D694">
        <v>115.05534</v>
      </c>
      <c r="E694" s="1">
        <v>45536</v>
      </c>
    </row>
    <row r="695" spans="1:5" x14ac:dyDescent="0.25">
      <c r="A695" t="s">
        <v>5</v>
      </c>
      <c r="B695" t="s">
        <v>9</v>
      </c>
      <c r="C695">
        <v>116.76</v>
      </c>
      <c r="D695">
        <v>119.15456</v>
      </c>
      <c r="E695" s="1">
        <v>45566</v>
      </c>
    </row>
    <row r="696" spans="1:5" x14ac:dyDescent="0.25">
      <c r="A696" t="s">
        <v>5</v>
      </c>
      <c r="B696" t="s">
        <v>9</v>
      </c>
      <c r="C696">
        <v>113.76</v>
      </c>
      <c r="D696">
        <v>118.34658</v>
      </c>
      <c r="E696" s="1">
        <v>45597</v>
      </c>
    </row>
    <row r="697" spans="1:5" x14ac:dyDescent="0.25">
      <c r="A697" t="s">
        <v>5</v>
      </c>
      <c r="B697" t="s">
        <v>9</v>
      </c>
      <c r="C697">
        <v>113.53</v>
      </c>
      <c r="D697">
        <v>127.72011999999999</v>
      </c>
      <c r="E697" s="1">
        <v>45627</v>
      </c>
    </row>
    <row r="698" spans="1:5" x14ac:dyDescent="0.25">
      <c r="A698" t="s">
        <v>5</v>
      </c>
      <c r="B698" t="s">
        <v>9</v>
      </c>
      <c r="C698">
        <v>112.45</v>
      </c>
      <c r="D698">
        <v>105.65398999999999</v>
      </c>
      <c r="E698" s="1">
        <v>45658</v>
      </c>
    </row>
    <row r="699" spans="1:5" x14ac:dyDescent="0.25">
      <c r="A699" t="s">
        <v>5</v>
      </c>
      <c r="B699" t="s">
        <v>9</v>
      </c>
      <c r="C699">
        <v>113.91</v>
      </c>
      <c r="D699">
        <v>106.38495</v>
      </c>
      <c r="E699" s="1">
        <v>45689</v>
      </c>
    </row>
    <row r="700" spans="1:5" x14ac:dyDescent="0.25">
      <c r="A700" t="s">
        <v>5</v>
      </c>
      <c r="B700" t="s">
        <v>9</v>
      </c>
      <c r="C700">
        <v>114.63</v>
      </c>
      <c r="D700">
        <v>113.09702</v>
      </c>
      <c r="E700" s="1">
        <v>45717</v>
      </c>
    </row>
    <row r="701" spans="1:5" x14ac:dyDescent="0.25">
      <c r="A701" t="s">
        <v>5</v>
      </c>
      <c r="B701" t="s">
        <v>9</v>
      </c>
      <c r="C701">
        <v>114.67</v>
      </c>
      <c r="D701">
        <v>111.7037</v>
      </c>
      <c r="E701" s="1">
        <v>45748</v>
      </c>
    </row>
    <row r="702" spans="1:5" x14ac:dyDescent="0.25">
      <c r="A702" t="s">
        <v>5</v>
      </c>
      <c r="B702" t="s">
        <v>9</v>
      </c>
      <c r="C702">
        <v>115.51</v>
      </c>
      <c r="D702">
        <v>113.10706999999999</v>
      </c>
      <c r="E702" s="1">
        <v>45778</v>
      </c>
    </row>
    <row r="703" spans="1:5" x14ac:dyDescent="0.25">
      <c r="A703" t="s">
        <v>5</v>
      </c>
      <c r="B703" t="s">
        <v>9</v>
      </c>
      <c r="C703">
        <v>115.79</v>
      </c>
      <c r="D703">
        <v>115.18595000000001</v>
      </c>
      <c r="E703" s="1">
        <v>45809</v>
      </c>
    </row>
    <row r="704" spans="1:5" x14ac:dyDescent="0.25">
      <c r="A704" t="s">
        <v>5</v>
      </c>
      <c r="B704" t="s">
        <v>9</v>
      </c>
      <c r="C704">
        <v>116.44</v>
      </c>
      <c r="D704">
        <v>116.28352</v>
      </c>
      <c r="E704" s="1">
        <v>45839</v>
      </c>
    </row>
    <row r="705" spans="1:5" x14ac:dyDescent="0.25">
      <c r="A705" t="s">
        <v>5</v>
      </c>
      <c r="B705" t="s">
        <v>9</v>
      </c>
      <c r="C705">
        <v>116.8</v>
      </c>
      <c r="D705">
        <v>115.78234999999999</v>
      </c>
      <c r="E705" s="1">
        <v>45870</v>
      </c>
    </row>
    <row r="706" spans="1:5" x14ac:dyDescent="0.25">
      <c r="A706" t="s">
        <v>5</v>
      </c>
      <c r="B706" t="s">
        <v>10</v>
      </c>
      <c r="C706">
        <v>82.9</v>
      </c>
      <c r="D706">
        <v>76.495739999999998</v>
      </c>
      <c r="E706" s="1">
        <v>40544</v>
      </c>
    </row>
    <row r="707" spans="1:5" x14ac:dyDescent="0.25">
      <c r="A707" t="s">
        <v>5</v>
      </c>
      <c r="B707" t="s">
        <v>10</v>
      </c>
      <c r="C707">
        <v>82.96</v>
      </c>
      <c r="D707">
        <v>76.765309999999999</v>
      </c>
      <c r="E707" s="1">
        <v>40575</v>
      </c>
    </row>
    <row r="708" spans="1:5" x14ac:dyDescent="0.25">
      <c r="A708" t="s">
        <v>5</v>
      </c>
      <c r="B708" t="s">
        <v>10</v>
      </c>
      <c r="C708">
        <v>81.97</v>
      </c>
      <c r="D708">
        <v>79.700069999999997</v>
      </c>
      <c r="E708" s="1">
        <v>40603</v>
      </c>
    </row>
    <row r="709" spans="1:5" x14ac:dyDescent="0.25">
      <c r="A709" t="s">
        <v>5</v>
      </c>
      <c r="B709" t="s">
        <v>10</v>
      </c>
      <c r="C709">
        <v>81.22</v>
      </c>
      <c r="D709">
        <v>79.382210000000001</v>
      </c>
      <c r="E709" s="1">
        <v>40634</v>
      </c>
    </row>
    <row r="710" spans="1:5" x14ac:dyDescent="0.25">
      <c r="A710" t="s">
        <v>5</v>
      </c>
      <c r="B710" t="s">
        <v>10</v>
      </c>
      <c r="C710">
        <v>83.32</v>
      </c>
      <c r="D710">
        <v>84.538809999999998</v>
      </c>
      <c r="E710" s="1">
        <v>40664</v>
      </c>
    </row>
    <row r="711" spans="1:5" x14ac:dyDescent="0.25">
      <c r="A711" t="s">
        <v>5</v>
      </c>
      <c r="B711" t="s">
        <v>10</v>
      </c>
      <c r="C711">
        <v>82.54</v>
      </c>
      <c r="D711">
        <v>81.986940000000004</v>
      </c>
      <c r="E711" s="1">
        <v>40695</v>
      </c>
    </row>
    <row r="712" spans="1:5" x14ac:dyDescent="0.25">
      <c r="A712" t="s">
        <v>5</v>
      </c>
      <c r="B712" t="s">
        <v>10</v>
      </c>
      <c r="C712">
        <v>83.32</v>
      </c>
      <c r="D712">
        <v>85.282560000000004</v>
      </c>
      <c r="E712" s="1">
        <v>40725</v>
      </c>
    </row>
    <row r="713" spans="1:5" x14ac:dyDescent="0.25">
      <c r="A713" t="s">
        <v>5</v>
      </c>
      <c r="B713" t="s">
        <v>10</v>
      </c>
      <c r="C713">
        <v>82.51</v>
      </c>
      <c r="D713">
        <v>87.907139999999998</v>
      </c>
      <c r="E713" s="1">
        <v>40756</v>
      </c>
    </row>
    <row r="714" spans="1:5" x14ac:dyDescent="0.25">
      <c r="A714" t="s">
        <v>5</v>
      </c>
      <c r="B714" t="s">
        <v>10</v>
      </c>
      <c r="C714">
        <v>81.52</v>
      </c>
      <c r="D714">
        <v>83.751540000000006</v>
      </c>
      <c r="E714" s="1">
        <v>40787</v>
      </c>
    </row>
    <row r="715" spans="1:5" x14ac:dyDescent="0.25">
      <c r="A715" t="s">
        <v>5</v>
      </c>
      <c r="B715" t="s">
        <v>10</v>
      </c>
      <c r="C715">
        <v>81.2</v>
      </c>
      <c r="D715">
        <v>84.021069999999995</v>
      </c>
      <c r="E715" s="1">
        <v>40817</v>
      </c>
    </row>
    <row r="716" spans="1:5" x14ac:dyDescent="0.25">
      <c r="A716" t="s">
        <v>5</v>
      </c>
      <c r="B716" t="s">
        <v>10</v>
      </c>
      <c r="C716">
        <v>82.09</v>
      </c>
      <c r="D716">
        <v>82.993769999999998</v>
      </c>
      <c r="E716" s="1">
        <v>40848</v>
      </c>
    </row>
    <row r="717" spans="1:5" x14ac:dyDescent="0.25">
      <c r="A717" t="s">
        <v>5</v>
      </c>
      <c r="B717" t="s">
        <v>10</v>
      </c>
      <c r="C717">
        <v>85.89</v>
      </c>
      <c r="D717">
        <v>87.498919999999998</v>
      </c>
      <c r="E717" s="1">
        <v>40878</v>
      </c>
    </row>
    <row r="718" spans="1:5" x14ac:dyDescent="0.25">
      <c r="A718" t="s">
        <v>5</v>
      </c>
      <c r="B718" t="s">
        <v>10</v>
      </c>
      <c r="C718">
        <v>82.73</v>
      </c>
      <c r="D718">
        <v>76.904570000000007</v>
      </c>
      <c r="E718" s="1">
        <v>40909</v>
      </c>
    </row>
    <row r="719" spans="1:5" x14ac:dyDescent="0.25">
      <c r="A719" t="s">
        <v>5</v>
      </c>
      <c r="B719" t="s">
        <v>10</v>
      </c>
      <c r="C719">
        <v>83.25</v>
      </c>
      <c r="D719">
        <v>75.875969999999995</v>
      </c>
      <c r="E719" s="1">
        <v>40940</v>
      </c>
    </row>
    <row r="720" spans="1:5" x14ac:dyDescent="0.25">
      <c r="A720" t="s">
        <v>5</v>
      </c>
      <c r="B720" t="s">
        <v>10</v>
      </c>
      <c r="C720">
        <v>83.87</v>
      </c>
      <c r="D720">
        <v>85.484120000000004</v>
      </c>
      <c r="E720" s="1">
        <v>40969</v>
      </c>
    </row>
    <row r="721" spans="1:5" x14ac:dyDescent="0.25">
      <c r="A721" t="s">
        <v>5</v>
      </c>
      <c r="B721" t="s">
        <v>10</v>
      </c>
      <c r="C721">
        <v>85.04</v>
      </c>
      <c r="D721">
        <v>82.074650000000005</v>
      </c>
      <c r="E721" s="1">
        <v>41000</v>
      </c>
    </row>
    <row r="722" spans="1:5" x14ac:dyDescent="0.25">
      <c r="A722" t="s">
        <v>5</v>
      </c>
      <c r="B722" t="s">
        <v>10</v>
      </c>
      <c r="C722">
        <v>84.66</v>
      </c>
      <c r="D722">
        <v>87.368219999999994</v>
      </c>
      <c r="E722" s="1">
        <v>41030</v>
      </c>
    </row>
    <row r="723" spans="1:5" x14ac:dyDescent="0.25">
      <c r="A723" t="s">
        <v>5</v>
      </c>
      <c r="B723" t="s">
        <v>10</v>
      </c>
      <c r="C723">
        <v>85.96</v>
      </c>
      <c r="D723">
        <v>84.961740000000006</v>
      </c>
      <c r="E723" s="1">
        <v>41061</v>
      </c>
    </row>
    <row r="724" spans="1:5" x14ac:dyDescent="0.25">
      <c r="A724" t="s">
        <v>5</v>
      </c>
      <c r="B724" t="s">
        <v>10</v>
      </c>
      <c r="C724">
        <v>85.15</v>
      </c>
      <c r="D724">
        <v>87.509479999999996</v>
      </c>
      <c r="E724" s="1">
        <v>41091</v>
      </c>
    </row>
    <row r="725" spans="1:5" x14ac:dyDescent="0.25">
      <c r="A725" t="s">
        <v>5</v>
      </c>
      <c r="B725" t="s">
        <v>10</v>
      </c>
      <c r="C725">
        <v>88.09</v>
      </c>
      <c r="D725">
        <v>93.848510000000005</v>
      </c>
      <c r="E725" s="1">
        <v>41122</v>
      </c>
    </row>
    <row r="726" spans="1:5" x14ac:dyDescent="0.25">
      <c r="A726" t="s">
        <v>5</v>
      </c>
      <c r="B726" t="s">
        <v>10</v>
      </c>
      <c r="C726">
        <v>88.1</v>
      </c>
      <c r="D726">
        <v>88.740690000000001</v>
      </c>
      <c r="E726" s="1">
        <v>41153</v>
      </c>
    </row>
    <row r="727" spans="1:5" x14ac:dyDescent="0.25">
      <c r="A727" t="s">
        <v>5</v>
      </c>
      <c r="B727" t="s">
        <v>10</v>
      </c>
      <c r="C727">
        <v>89.74</v>
      </c>
      <c r="D727">
        <v>95.002489999999995</v>
      </c>
      <c r="E727" s="1">
        <v>41183</v>
      </c>
    </row>
    <row r="728" spans="1:5" x14ac:dyDescent="0.25">
      <c r="A728" t="s">
        <v>5</v>
      </c>
      <c r="B728" t="s">
        <v>10</v>
      </c>
      <c r="C728">
        <v>88.95</v>
      </c>
      <c r="D728">
        <v>89.687989999999999</v>
      </c>
      <c r="E728" s="1">
        <v>41214</v>
      </c>
    </row>
    <row r="729" spans="1:5" x14ac:dyDescent="0.25">
      <c r="A729" t="s">
        <v>5</v>
      </c>
      <c r="B729" t="s">
        <v>10</v>
      </c>
      <c r="C729">
        <v>89.54</v>
      </c>
      <c r="D729">
        <v>89.770750000000007</v>
      </c>
      <c r="E729" s="1">
        <v>41244</v>
      </c>
    </row>
    <row r="730" spans="1:5" x14ac:dyDescent="0.25">
      <c r="A730" t="s">
        <v>5</v>
      </c>
      <c r="B730" t="s">
        <v>10</v>
      </c>
      <c r="C730">
        <v>89.36</v>
      </c>
      <c r="D730">
        <v>84.45626</v>
      </c>
      <c r="E730" s="1">
        <v>41275</v>
      </c>
    </row>
    <row r="731" spans="1:5" x14ac:dyDescent="0.25">
      <c r="A731" t="s">
        <v>5</v>
      </c>
      <c r="B731" t="s">
        <v>10</v>
      </c>
      <c r="C731">
        <v>90.02</v>
      </c>
      <c r="D731">
        <v>78.855180000000004</v>
      </c>
      <c r="E731" s="1">
        <v>41306</v>
      </c>
    </row>
    <row r="732" spans="1:5" x14ac:dyDescent="0.25">
      <c r="A732" t="s">
        <v>5</v>
      </c>
      <c r="B732" t="s">
        <v>10</v>
      </c>
      <c r="C732">
        <v>90.81</v>
      </c>
      <c r="D732">
        <v>89.692250000000001</v>
      </c>
      <c r="E732" s="1">
        <v>41334</v>
      </c>
    </row>
    <row r="733" spans="1:5" x14ac:dyDescent="0.25">
      <c r="A733" t="s">
        <v>5</v>
      </c>
      <c r="B733" t="s">
        <v>10</v>
      </c>
      <c r="C733">
        <v>92.28</v>
      </c>
      <c r="D733">
        <v>92.223759999999999</v>
      </c>
      <c r="E733" s="1">
        <v>41365</v>
      </c>
    </row>
    <row r="734" spans="1:5" x14ac:dyDescent="0.25">
      <c r="A734" t="s">
        <v>5</v>
      </c>
      <c r="B734" t="s">
        <v>10</v>
      </c>
      <c r="C734">
        <v>91.63</v>
      </c>
      <c r="D734">
        <v>93.782120000000006</v>
      </c>
      <c r="E734" s="1">
        <v>41395</v>
      </c>
    </row>
    <row r="735" spans="1:5" x14ac:dyDescent="0.25">
      <c r="A735" t="s">
        <v>5</v>
      </c>
      <c r="B735" t="s">
        <v>10</v>
      </c>
      <c r="C735">
        <v>91.62</v>
      </c>
      <c r="D735">
        <v>89.860690000000005</v>
      </c>
      <c r="E735" s="1">
        <v>41426</v>
      </c>
    </row>
    <row r="736" spans="1:5" x14ac:dyDescent="0.25">
      <c r="A736" t="s">
        <v>5</v>
      </c>
      <c r="B736" t="s">
        <v>10</v>
      </c>
      <c r="C736">
        <v>92.09</v>
      </c>
      <c r="D736">
        <v>96.094009999999997</v>
      </c>
      <c r="E736" s="1">
        <v>41456</v>
      </c>
    </row>
    <row r="737" spans="1:5" x14ac:dyDescent="0.25">
      <c r="A737" t="s">
        <v>5</v>
      </c>
      <c r="B737" t="s">
        <v>10</v>
      </c>
      <c r="C737">
        <v>91.94</v>
      </c>
      <c r="D737">
        <v>97.274209999999997</v>
      </c>
      <c r="E737" s="1">
        <v>41487</v>
      </c>
    </row>
    <row r="738" spans="1:5" x14ac:dyDescent="0.25">
      <c r="A738" t="s">
        <v>5</v>
      </c>
      <c r="B738" t="s">
        <v>10</v>
      </c>
      <c r="C738">
        <v>93.22</v>
      </c>
      <c r="D738">
        <v>94.342380000000006</v>
      </c>
      <c r="E738" s="1">
        <v>41518</v>
      </c>
    </row>
    <row r="739" spans="1:5" x14ac:dyDescent="0.25">
      <c r="A739" t="s">
        <v>5</v>
      </c>
      <c r="B739" t="s">
        <v>10</v>
      </c>
      <c r="C739">
        <v>93.62</v>
      </c>
      <c r="D739">
        <v>99.03407</v>
      </c>
      <c r="E739" s="1">
        <v>41548</v>
      </c>
    </row>
    <row r="740" spans="1:5" x14ac:dyDescent="0.25">
      <c r="A740" t="s">
        <v>5</v>
      </c>
      <c r="B740" t="s">
        <v>10</v>
      </c>
      <c r="C740">
        <v>93.86</v>
      </c>
      <c r="D740">
        <v>94.245580000000004</v>
      </c>
      <c r="E740" s="1">
        <v>41579</v>
      </c>
    </row>
    <row r="741" spans="1:5" x14ac:dyDescent="0.25">
      <c r="A741" t="s">
        <v>5</v>
      </c>
      <c r="B741" t="s">
        <v>10</v>
      </c>
      <c r="C741">
        <v>93.91</v>
      </c>
      <c r="D741">
        <v>94.832300000000004</v>
      </c>
      <c r="E741" s="1">
        <v>41609</v>
      </c>
    </row>
    <row r="742" spans="1:5" x14ac:dyDescent="0.25">
      <c r="A742" t="s">
        <v>5</v>
      </c>
      <c r="B742" t="s">
        <v>10</v>
      </c>
      <c r="C742">
        <v>95.54</v>
      </c>
      <c r="D742">
        <v>90.165750000000003</v>
      </c>
      <c r="E742" s="1">
        <v>41640</v>
      </c>
    </row>
    <row r="743" spans="1:5" x14ac:dyDescent="0.25">
      <c r="A743" t="s">
        <v>5</v>
      </c>
      <c r="B743" t="s">
        <v>10</v>
      </c>
      <c r="C743">
        <v>98.37</v>
      </c>
      <c r="D743">
        <v>89.80444</v>
      </c>
      <c r="E743" s="1">
        <v>41671</v>
      </c>
    </row>
    <row r="744" spans="1:5" x14ac:dyDescent="0.25">
      <c r="A744" t="s">
        <v>5</v>
      </c>
      <c r="B744" t="s">
        <v>10</v>
      </c>
      <c r="C744">
        <v>95.05</v>
      </c>
      <c r="D744">
        <v>91.923410000000004</v>
      </c>
      <c r="E744" s="1">
        <v>41699</v>
      </c>
    </row>
    <row r="745" spans="1:5" x14ac:dyDescent="0.25">
      <c r="A745" t="s">
        <v>5</v>
      </c>
      <c r="B745" t="s">
        <v>10</v>
      </c>
      <c r="C745">
        <v>95.41</v>
      </c>
      <c r="D745">
        <v>93.541120000000006</v>
      </c>
      <c r="E745" s="1">
        <v>41730</v>
      </c>
    </row>
    <row r="746" spans="1:5" x14ac:dyDescent="0.25">
      <c r="A746" t="s">
        <v>5</v>
      </c>
      <c r="B746" t="s">
        <v>10</v>
      </c>
      <c r="C746">
        <v>94.5</v>
      </c>
      <c r="D746">
        <v>96.744879999999995</v>
      </c>
      <c r="E746" s="1">
        <v>41760</v>
      </c>
    </row>
    <row r="747" spans="1:5" x14ac:dyDescent="0.25">
      <c r="A747" t="s">
        <v>5</v>
      </c>
      <c r="B747" t="s">
        <v>10</v>
      </c>
      <c r="C747">
        <v>91.8</v>
      </c>
      <c r="D747">
        <v>89.915980000000005</v>
      </c>
      <c r="E747" s="1">
        <v>41791</v>
      </c>
    </row>
    <row r="748" spans="1:5" x14ac:dyDescent="0.25">
      <c r="A748" t="s">
        <v>5</v>
      </c>
      <c r="B748" t="s">
        <v>10</v>
      </c>
      <c r="C748">
        <v>95.86</v>
      </c>
      <c r="D748">
        <v>100.03606000000001</v>
      </c>
      <c r="E748" s="1">
        <v>41821</v>
      </c>
    </row>
    <row r="749" spans="1:5" x14ac:dyDescent="0.25">
      <c r="A749" t="s">
        <v>5</v>
      </c>
      <c r="B749" t="s">
        <v>10</v>
      </c>
      <c r="C749">
        <v>94.02</v>
      </c>
      <c r="D749">
        <v>98.066180000000003</v>
      </c>
      <c r="E749" s="1">
        <v>41852</v>
      </c>
    </row>
    <row r="750" spans="1:5" x14ac:dyDescent="0.25">
      <c r="A750" t="s">
        <v>5</v>
      </c>
      <c r="B750" t="s">
        <v>10</v>
      </c>
      <c r="C750">
        <v>94.82</v>
      </c>
      <c r="D750">
        <v>97.597909999999999</v>
      </c>
      <c r="E750" s="1">
        <v>41883</v>
      </c>
    </row>
    <row r="751" spans="1:5" x14ac:dyDescent="0.25">
      <c r="A751" t="s">
        <v>5</v>
      </c>
      <c r="B751" t="s">
        <v>10</v>
      </c>
      <c r="C751">
        <v>94.19</v>
      </c>
      <c r="D751">
        <v>99.225030000000004</v>
      </c>
      <c r="E751" s="1">
        <v>41913</v>
      </c>
    </row>
    <row r="752" spans="1:5" x14ac:dyDescent="0.25">
      <c r="A752" t="s">
        <v>5</v>
      </c>
      <c r="B752" t="s">
        <v>10</v>
      </c>
      <c r="C752">
        <v>96.86</v>
      </c>
      <c r="D752">
        <v>95.863249999999994</v>
      </c>
      <c r="E752" s="1">
        <v>41944</v>
      </c>
    </row>
    <row r="753" spans="1:5" x14ac:dyDescent="0.25">
      <c r="A753" t="s">
        <v>5</v>
      </c>
      <c r="B753" t="s">
        <v>10</v>
      </c>
      <c r="C753">
        <v>93.2</v>
      </c>
      <c r="D753">
        <v>95.744810000000001</v>
      </c>
      <c r="E753" s="1">
        <v>41974</v>
      </c>
    </row>
    <row r="754" spans="1:5" x14ac:dyDescent="0.25">
      <c r="A754" t="s">
        <v>5</v>
      </c>
      <c r="B754" t="s">
        <v>10</v>
      </c>
      <c r="C754">
        <v>89.64</v>
      </c>
      <c r="D754">
        <v>84.020399999999995</v>
      </c>
      <c r="E754" s="1">
        <v>42005</v>
      </c>
    </row>
    <row r="755" spans="1:5" x14ac:dyDescent="0.25">
      <c r="A755" t="s">
        <v>5</v>
      </c>
      <c r="B755" t="s">
        <v>10</v>
      </c>
      <c r="C755">
        <v>90.49</v>
      </c>
      <c r="D755">
        <v>79.450559999999996</v>
      </c>
      <c r="E755" s="1">
        <v>42036</v>
      </c>
    </row>
    <row r="756" spans="1:5" x14ac:dyDescent="0.25">
      <c r="A756" t="s">
        <v>5</v>
      </c>
      <c r="B756" t="s">
        <v>10</v>
      </c>
      <c r="C756">
        <v>92.37</v>
      </c>
      <c r="D756">
        <v>93.731110000000001</v>
      </c>
      <c r="E756" s="1">
        <v>42064</v>
      </c>
    </row>
    <row r="757" spans="1:5" x14ac:dyDescent="0.25">
      <c r="A757" t="s">
        <v>5</v>
      </c>
      <c r="B757" t="s">
        <v>10</v>
      </c>
      <c r="C757">
        <v>89.9</v>
      </c>
      <c r="D757">
        <v>87.622709999999998</v>
      </c>
      <c r="E757" s="1">
        <v>42095</v>
      </c>
    </row>
    <row r="758" spans="1:5" x14ac:dyDescent="0.25">
      <c r="A758" t="s">
        <v>5</v>
      </c>
      <c r="B758" t="s">
        <v>10</v>
      </c>
      <c r="C758">
        <v>90.1</v>
      </c>
      <c r="D758">
        <v>90.994380000000007</v>
      </c>
      <c r="E758" s="1">
        <v>42125</v>
      </c>
    </row>
    <row r="759" spans="1:5" x14ac:dyDescent="0.25">
      <c r="A759" t="s">
        <v>5</v>
      </c>
      <c r="B759" t="s">
        <v>10</v>
      </c>
      <c r="C759">
        <v>86.81</v>
      </c>
      <c r="D759">
        <v>86.684179999999998</v>
      </c>
      <c r="E759" s="1">
        <v>42156</v>
      </c>
    </row>
    <row r="760" spans="1:5" x14ac:dyDescent="0.25">
      <c r="A760" t="s">
        <v>5</v>
      </c>
      <c r="B760" t="s">
        <v>10</v>
      </c>
      <c r="C760">
        <v>87.82</v>
      </c>
      <c r="D760">
        <v>91.576610000000002</v>
      </c>
      <c r="E760" s="1">
        <v>42186</v>
      </c>
    </row>
    <row r="761" spans="1:5" x14ac:dyDescent="0.25">
      <c r="A761" t="s">
        <v>5</v>
      </c>
      <c r="B761" t="s">
        <v>10</v>
      </c>
      <c r="C761">
        <v>90.15</v>
      </c>
      <c r="D761">
        <v>93.805610000000001</v>
      </c>
      <c r="E761" s="1">
        <v>42217</v>
      </c>
    </row>
    <row r="762" spans="1:5" x14ac:dyDescent="0.25">
      <c r="A762" t="s">
        <v>5</v>
      </c>
      <c r="B762" t="s">
        <v>10</v>
      </c>
      <c r="C762">
        <v>88.48</v>
      </c>
      <c r="D762">
        <v>91.362989999999996</v>
      </c>
      <c r="E762" s="1">
        <v>42248</v>
      </c>
    </row>
    <row r="763" spans="1:5" x14ac:dyDescent="0.25">
      <c r="A763" t="s">
        <v>5</v>
      </c>
      <c r="B763" t="s">
        <v>10</v>
      </c>
      <c r="C763">
        <v>88.91</v>
      </c>
      <c r="D763">
        <v>92.621619999999993</v>
      </c>
      <c r="E763" s="1">
        <v>42278</v>
      </c>
    </row>
    <row r="764" spans="1:5" x14ac:dyDescent="0.25">
      <c r="A764" t="s">
        <v>5</v>
      </c>
      <c r="B764" t="s">
        <v>10</v>
      </c>
      <c r="C764">
        <v>88.29</v>
      </c>
      <c r="D764">
        <v>87.756450000000001</v>
      </c>
      <c r="E764" s="1">
        <v>42309</v>
      </c>
    </row>
    <row r="765" spans="1:5" x14ac:dyDescent="0.25">
      <c r="A765" t="s">
        <v>5</v>
      </c>
      <c r="B765" t="s">
        <v>10</v>
      </c>
      <c r="C765">
        <v>86.49</v>
      </c>
      <c r="D765">
        <v>89.145300000000006</v>
      </c>
      <c r="E765" s="1">
        <v>42339</v>
      </c>
    </row>
    <row r="766" spans="1:5" x14ac:dyDescent="0.25">
      <c r="A766" t="s">
        <v>5</v>
      </c>
      <c r="B766" t="s">
        <v>10</v>
      </c>
      <c r="C766">
        <v>85.54</v>
      </c>
      <c r="D766">
        <v>79.121780000000001</v>
      </c>
      <c r="E766" s="1">
        <v>42370</v>
      </c>
    </row>
    <row r="767" spans="1:5" x14ac:dyDescent="0.25">
      <c r="A767" t="s">
        <v>5</v>
      </c>
      <c r="B767" t="s">
        <v>10</v>
      </c>
      <c r="C767">
        <v>85.33</v>
      </c>
      <c r="D767">
        <v>77.819770000000005</v>
      </c>
      <c r="E767" s="1">
        <v>42401</v>
      </c>
    </row>
    <row r="768" spans="1:5" x14ac:dyDescent="0.25">
      <c r="A768" t="s">
        <v>5</v>
      </c>
      <c r="B768" t="s">
        <v>10</v>
      </c>
      <c r="C768">
        <v>86.1</v>
      </c>
      <c r="D768">
        <v>86.982349999999997</v>
      </c>
      <c r="E768" s="1">
        <v>42430</v>
      </c>
    </row>
    <row r="769" spans="1:5" x14ac:dyDescent="0.25">
      <c r="A769" t="s">
        <v>5</v>
      </c>
      <c r="B769" t="s">
        <v>10</v>
      </c>
      <c r="C769">
        <v>82.47</v>
      </c>
      <c r="D769">
        <v>81.280180000000001</v>
      </c>
      <c r="E769" s="1">
        <v>42461</v>
      </c>
    </row>
    <row r="770" spans="1:5" x14ac:dyDescent="0.25">
      <c r="A770" t="s">
        <v>5</v>
      </c>
      <c r="B770" t="s">
        <v>10</v>
      </c>
      <c r="C770">
        <v>83.17</v>
      </c>
      <c r="D770">
        <v>82.754990000000006</v>
      </c>
      <c r="E770" s="1">
        <v>42491</v>
      </c>
    </row>
    <row r="771" spans="1:5" x14ac:dyDescent="0.25">
      <c r="A771" t="s">
        <v>5</v>
      </c>
      <c r="B771" t="s">
        <v>10</v>
      </c>
      <c r="C771">
        <v>81.760000000000005</v>
      </c>
      <c r="D771">
        <v>83.554730000000006</v>
      </c>
      <c r="E771" s="1">
        <v>42522</v>
      </c>
    </row>
    <row r="772" spans="1:5" x14ac:dyDescent="0.25">
      <c r="A772" t="s">
        <v>5</v>
      </c>
      <c r="B772" t="s">
        <v>10</v>
      </c>
      <c r="C772">
        <v>81.81</v>
      </c>
      <c r="D772">
        <v>83.617410000000007</v>
      </c>
      <c r="E772" s="1">
        <v>42552</v>
      </c>
    </row>
    <row r="773" spans="1:5" x14ac:dyDescent="0.25">
      <c r="A773" t="s">
        <v>5</v>
      </c>
      <c r="B773" t="s">
        <v>10</v>
      </c>
      <c r="C773">
        <v>80.13</v>
      </c>
      <c r="D773">
        <v>85.391469999999998</v>
      </c>
      <c r="E773" s="1">
        <v>42583</v>
      </c>
    </row>
    <row r="774" spans="1:5" x14ac:dyDescent="0.25">
      <c r="A774" t="s">
        <v>5</v>
      </c>
      <c r="B774" t="s">
        <v>10</v>
      </c>
      <c r="C774">
        <v>80.78</v>
      </c>
      <c r="D774">
        <v>83.098560000000006</v>
      </c>
      <c r="E774" s="1">
        <v>42614</v>
      </c>
    </row>
    <row r="775" spans="1:5" x14ac:dyDescent="0.25">
      <c r="A775" t="s">
        <v>5</v>
      </c>
      <c r="B775" t="s">
        <v>10</v>
      </c>
      <c r="C775">
        <v>78.64</v>
      </c>
      <c r="D775">
        <v>80.257220000000004</v>
      </c>
      <c r="E775" s="1">
        <v>42644</v>
      </c>
    </row>
    <row r="776" spans="1:5" x14ac:dyDescent="0.25">
      <c r="A776" t="s">
        <v>5</v>
      </c>
      <c r="B776" t="s">
        <v>10</v>
      </c>
      <c r="C776">
        <v>79.61</v>
      </c>
      <c r="D776">
        <v>80.839799999999997</v>
      </c>
      <c r="E776" s="1">
        <v>42675</v>
      </c>
    </row>
    <row r="777" spans="1:5" x14ac:dyDescent="0.25">
      <c r="A777" t="s">
        <v>5</v>
      </c>
      <c r="B777" t="s">
        <v>10</v>
      </c>
      <c r="C777">
        <v>80.72</v>
      </c>
      <c r="D777">
        <v>82.710470000000001</v>
      </c>
      <c r="E777" s="1">
        <v>42705</v>
      </c>
    </row>
    <row r="778" spans="1:5" x14ac:dyDescent="0.25">
      <c r="A778" t="s">
        <v>5</v>
      </c>
      <c r="B778" t="s">
        <v>10</v>
      </c>
      <c r="C778">
        <v>82.55</v>
      </c>
      <c r="D778">
        <v>76.795940000000002</v>
      </c>
      <c r="E778" s="1">
        <v>42736</v>
      </c>
    </row>
    <row r="779" spans="1:5" x14ac:dyDescent="0.25">
      <c r="A779" t="s">
        <v>5</v>
      </c>
      <c r="B779" t="s">
        <v>10</v>
      </c>
      <c r="C779">
        <v>84.03</v>
      </c>
      <c r="D779">
        <v>74.029759999999996</v>
      </c>
      <c r="E779" s="1">
        <v>42767</v>
      </c>
    </row>
    <row r="780" spans="1:5" x14ac:dyDescent="0.25">
      <c r="A780" t="s">
        <v>5</v>
      </c>
      <c r="B780" t="s">
        <v>10</v>
      </c>
      <c r="C780">
        <v>83.08</v>
      </c>
      <c r="D780">
        <v>85.313500000000005</v>
      </c>
      <c r="E780" s="1">
        <v>42795</v>
      </c>
    </row>
    <row r="781" spans="1:5" x14ac:dyDescent="0.25">
      <c r="A781" t="s">
        <v>5</v>
      </c>
      <c r="B781" t="s">
        <v>10</v>
      </c>
      <c r="C781">
        <v>84.41</v>
      </c>
      <c r="D781">
        <v>80.060599999999994</v>
      </c>
      <c r="E781" s="1">
        <v>42826</v>
      </c>
    </row>
    <row r="782" spans="1:5" x14ac:dyDescent="0.25">
      <c r="A782" t="s">
        <v>5</v>
      </c>
      <c r="B782" t="s">
        <v>10</v>
      </c>
      <c r="C782">
        <v>83.59</v>
      </c>
      <c r="D782">
        <v>86.338260000000005</v>
      </c>
      <c r="E782" s="1">
        <v>42856</v>
      </c>
    </row>
    <row r="783" spans="1:5" x14ac:dyDescent="0.25">
      <c r="A783" t="s">
        <v>5</v>
      </c>
      <c r="B783" t="s">
        <v>10</v>
      </c>
      <c r="C783">
        <v>85.13</v>
      </c>
      <c r="D783">
        <v>85.312200000000004</v>
      </c>
      <c r="E783" s="1">
        <v>42887</v>
      </c>
    </row>
    <row r="784" spans="1:5" x14ac:dyDescent="0.25">
      <c r="A784" t="s">
        <v>5</v>
      </c>
      <c r="B784" t="s">
        <v>10</v>
      </c>
      <c r="C784">
        <v>84.41</v>
      </c>
      <c r="D784">
        <v>86.108969999999999</v>
      </c>
      <c r="E784" s="1">
        <v>42917</v>
      </c>
    </row>
    <row r="785" spans="1:5" x14ac:dyDescent="0.25">
      <c r="A785" t="s">
        <v>5</v>
      </c>
      <c r="B785" t="s">
        <v>10</v>
      </c>
      <c r="C785">
        <v>84.22</v>
      </c>
      <c r="D785">
        <v>89.892759999999996</v>
      </c>
      <c r="E785" s="1">
        <v>42948</v>
      </c>
    </row>
    <row r="786" spans="1:5" x14ac:dyDescent="0.25">
      <c r="A786" t="s">
        <v>5</v>
      </c>
      <c r="B786" t="s">
        <v>10</v>
      </c>
      <c r="C786">
        <v>83.89</v>
      </c>
      <c r="D786">
        <v>85.92944</v>
      </c>
      <c r="E786" s="1">
        <v>42979</v>
      </c>
    </row>
    <row r="787" spans="1:5" x14ac:dyDescent="0.25">
      <c r="A787" t="s">
        <v>5</v>
      </c>
      <c r="B787" t="s">
        <v>10</v>
      </c>
      <c r="C787">
        <v>85.08</v>
      </c>
      <c r="D787">
        <v>87.136080000000007</v>
      </c>
      <c r="E787" s="1">
        <v>43009</v>
      </c>
    </row>
    <row r="788" spans="1:5" x14ac:dyDescent="0.25">
      <c r="A788" t="s">
        <v>5</v>
      </c>
      <c r="B788" t="s">
        <v>10</v>
      </c>
      <c r="C788">
        <v>84.99</v>
      </c>
      <c r="D788">
        <v>86.181200000000004</v>
      </c>
      <c r="E788" s="1">
        <v>43040</v>
      </c>
    </row>
    <row r="789" spans="1:5" x14ac:dyDescent="0.25">
      <c r="A789" t="s">
        <v>5</v>
      </c>
      <c r="B789" t="s">
        <v>10</v>
      </c>
      <c r="C789">
        <v>85.75</v>
      </c>
      <c r="D789">
        <v>86.689139999999995</v>
      </c>
      <c r="E789" s="1">
        <v>43070</v>
      </c>
    </row>
    <row r="790" spans="1:5" x14ac:dyDescent="0.25">
      <c r="A790" t="s">
        <v>5</v>
      </c>
      <c r="B790" t="s">
        <v>10</v>
      </c>
      <c r="C790">
        <v>84.07</v>
      </c>
      <c r="D790">
        <v>79.675330000000002</v>
      </c>
      <c r="E790" s="1">
        <v>43101</v>
      </c>
    </row>
    <row r="791" spans="1:5" x14ac:dyDescent="0.25">
      <c r="A791" t="s">
        <v>5</v>
      </c>
      <c r="B791" t="s">
        <v>10</v>
      </c>
      <c r="C791">
        <v>84.31</v>
      </c>
      <c r="D791">
        <v>74.438860000000005</v>
      </c>
      <c r="E791" s="1">
        <v>43132</v>
      </c>
    </row>
    <row r="792" spans="1:5" x14ac:dyDescent="0.25">
      <c r="A792" t="s">
        <v>5</v>
      </c>
      <c r="B792" t="s">
        <v>10</v>
      </c>
      <c r="C792">
        <v>84.97</v>
      </c>
      <c r="D792">
        <v>84.626189999999994</v>
      </c>
      <c r="E792" s="1">
        <v>43160</v>
      </c>
    </row>
    <row r="793" spans="1:5" x14ac:dyDescent="0.25">
      <c r="A793" t="s">
        <v>5</v>
      </c>
      <c r="B793" t="s">
        <v>10</v>
      </c>
      <c r="C793">
        <v>86.16</v>
      </c>
      <c r="D793">
        <v>83.508160000000004</v>
      </c>
      <c r="E793" s="1">
        <v>43191</v>
      </c>
    </row>
    <row r="794" spans="1:5" x14ac:dyDescent="0.25">
      <c r="A794" t="s">
        <v>5</v>
      </c>
      <c r="B794" t="s">
        <v>10</v>
      </c>
      <c r="C794">
        <v>77.099999999999994</v>
      </c>
      <c r="D794">
        <v>79.763980000000004</v>
      </c>
      <c r="E794" s="1">
        <v>43221</v>
      </c>
    </row>
    <row r="795" spans="1:5" x14ac:dyDescent="0.25">
      <c r="A795" t="s">
        <v>5</v>
      </c>
      <c r="B795" t="s">
        <v>10</v>
      </c>
      <c r="C795">
        <v>89.13</v>
      </c>
      <c r="D795">
        <v>89.097070000000002</v>
      </c>
      <c r="E795" s="1">
        <v>43252</v>
      </c>
    </row>
    <row r="796" spans="1:5" x14ac:dyDescent="0.25">
      <c r="A796" t="s">
        <v>5</v>
      </c>
      <c r="B796" t="s">
        <v>10</v>
      </c>
      <c r="C796">
        <v>84.95</v>
      </c>
      <c r="D796">
        <v>87.284570000000002</v>
      </c>
      <c r="E796" s="1">
        <v>43282</v>
      </c>
    </row>
    <row r="797" spans="1:5" x14ac:dyDescent="0.25">
      <c r="A797" t="s">
        <v>5</v>
      </c>
      <c r="B797" t="s">
        <v>10</v>
      </c>
      <c r="C797">
        <v>87.99</v>
      </c>
      <c r="D797">
        <v>93.862729999999999</v>
      </c>
      <c r="E797" s="1">
        <v>43313</v>
      </c>
    </row>
    <row r="798" spans="1:5" x14ac:dyDescent="0.25">
      <c r="A798" t="s">
        <v>5</v>
      </c>
      <c r="B798" t="s">
        <v>10</v>
      </c>
      <c r="C798">
        <v>86.23</v>
      </c>
      <c r="D798">
        <v>86.936880000000002</v>
      </c>
      <c r="E798" s="1">
        <v>43344</v>
      </c>
    </row>
    <row r="799" spans="1:5" x14ac:dyDescent="0.25">
      <c r="A799" t="s">
        <v>5</v>
      </c>
      <c r="B799" t="s">
        <v>10</v>
      </c>
      <c r="C799">
        <v>85.97</v>
      </c>
      <c r="D799">
        <v>89.232919999999993</v>
      </c>
      <c r="E799" s="1">
        <v>43374</v>
      </c>
    </row>
    <row r="800" spans="1:5" x14ac:dyDescent="0.25">
      <c r="A800" t="s">
        <v>5</v>
      </c>
      <c r="B800" t="s">
        <v>10</v>
      </c>
      <c r="C800">
        <v>85.58</v>
      </c>
      <c r="D800">
        <v>86.793700000000001</v>
      </c>
      <c r="E800" s="1">
        <v>43405</v>
      </c>
    </row>
    <row r="801" spans="1:5" x14ac:dyDescent="0.25">
      <c r="A801" t="s">
        <v>5</v>
      </c>
      <c r="B801" t="s">
        <v>10</v>
      </c>
      <c r="C801">
        <v>85.8</v>
      </c>
      <c r="D801">
        <v>86.469220000000007</v>
      </c>
      <c r="E801" s="1">
        <v>43435</v>
      </c>
    </row>
    <row r="802" spans="1:5" x14ac:dyDescent="0.25">
      <c r="A802" t="s">
        <v>5</v>
      </c>
      <c r="B802" t="s">
        <v>10</v>
      </c>
      <c r="C802">
        <v>84.26</v>
      </c>
      <c r="D802">
        <v>80.189779999999999</v>
      </c>
      <c r="E802" s="1">
        <v>43466</v>
      </c>
    </row>
    <row r="803" spans="1:5" x14ac:dyDescent="0.25">
      <c r="A803" t="s">
        <v>5</v>
      </c>
      <c r="B803" t="s">
        <v>10</v>
      </c>
      <c r="C803">
        <v>81.599999999999994</v>
      </c>
      <c r="D803">
        <v>76.211479999999995</v>
      </c>
      <c r="E803" s="1">
        <v>43497</v>
      </c>
    </row>
    <row r="804" spans="1:5" x14ac:dyDescent="0.25">
      <c r="A804" t="s">
        <v>5</v>
      </c>
      <c r="B804" t="s">
        <v>10</v>
      </c>
      <c r="C804">
        <v>82.93</v>
      </c>
      <c r="D804">
        <v>78.507350000000002</v>
      </c>
      <c r="E804" s="1">
        <v>43525</v>
      </c>
    </row>
    <row r="805" spans="1:5" x14ac:dyDescent="0.25">
      <c r="A805" t="s">
        <v>5</v>
      </c>
      <c r="B805" t="s">
        <v>10</v>
      </c>
      <c r="C805">
        <v>82.29</v>
      </c>
      <c r="D805">
        <v>79.368639999999999</v>
      </c>
      <c r="E805" s="1">
        <v>43556</v>
      </c>
    </row>
    <row r="806" spans="1:5" x14ac:dyDescent="0.25">
      <c r="A806" t="s">
        <v>5</v>
      </c>
      <c r="B806" t="s">
        <v>10</v>
      </c>
      <c r="C806">
        <v>81.61</v>
      </c>
      <c r="D806">
        <v>84.327740000000006</v>
      </c>
      <c r="E806" s="1">
        <v>43586</v>
      </c>
    </row>
    <row r="807" spans="1:5" x14ac:dyDescent="0.25">
      <c r="A807" t="s">
        <v>5</v>
      </c>
      <c r="B807" t="s">
        <v>10</v>
      </c>
      <c r="C807">
        <v>80.67</v>
      </c>
      <c r="D807">
        <v>79.509259999999998</v>
      </c>
      <c r="E807" s="1">
        <v>43617</v>
      </c>
    </row>
    <row r="808" spans="1:5" x14ac:dyDescent="0.25">
      <c r="A808" t="s">
        <v>5</v>
      </c>
      <c r="B808" t="s">
        <v>10</v>
      </c>
      <c r="C808">
        <v>82.28</v>
      </c>
      <c r="D808">
        <v>86.012200000000007</v>
      </c>
      <c r="E808" s="1">
        <v>43647</v>
      </c>
    </row>
    <row r="809" spans="1:5" x14ac:dyDescent="0.25">
      <c r="A809" t="s">
        <v>5</v>
      </c>
      <c r="B809" t="s">
        <v>10</v>
      </c>
      <c r="C809">
        <v>81.53</v>
      </c>
      <c r="D809">
        <v>86.500879999999995</v>
      </c>
      <c r="E809" s="1">
        <v>43678</v>
      </c>
    </row>
    <row r="810" spans="1:5" x14ac:dyDescent="0.25">
      <c r="A810" t="s">
        <v>5</v>
      </c>
      <c r="B810" t="s">
        <v>10</v>
      </c>
      <c r="C810">
        <v>84.4</v>
      </c>
      <c r="D810">
        <v>85.356930000000006</v>
      </c>
      <c r="E810" s="1">
        <v>43709</v>
      </c>
    </row>
    <row r="811" spans="1:5" x14ac:dyDescent="0.25">
      <c r="A811" t="s">
        <v>5</v>
      </c>
      <c r="B811" t="s">
        <v>10</v>
      </c>
      <c r="C811">
        <v>86.61</v>
      </c>
      <c r="D811">
        <v>89.651079999999993</v>
      </c>
      <c r="E811" s="1">
        <v>43739</v>
      </c>
    </row>
    <row r="812" spans="1:5" x14ac:dyDescent="0.25">
      <c r="A812" t="s">
        <v>5</v>
      </c>
      <c r="B812" t="s">
        <v>10</v>
      </c>
      <c r="C812">
        <v>84.58</v>
      </c>
      <c r="D812">
        <v>85.270139999999998</v>
      </c>
      <c r="E812" s="1">
        <v>43770</v>
      </c>
    </row>
    <row r="813" spans="1:5" x14ac:dyDescent="0.25">
      <c r="A813" t="s">
        <v>5</v>
      </c>
      <c r="B813" t="s">
        <v>10</v>
      </c>
      <c r="C813">
        <v>83.81</v>
      </c>
      <c r="D813">
        <v>85.010739999999998</v>
      </c>
      <c r="E813" s="1">
        <v>43800</v>
      </c>
    </row>
    <row r="814" spans="1:5" x14ac:dyDescent="0.25">
      <c r="A814" t="s">
        <v>5</v>
      </c>
      <c r="B814" t="s">
        <v>10</v>
      </c>
      <c r="C814">
        <v>84.91</v>
      </c>
      <c r="D814">
        <v>80.961569999999995</v>
      </c>
      <c r="E814" s="1">
        <v>43831</v>
      </c>
    </row>
    <row r="815" spans="1:5" x14ac:dyDescent="0.25">
      <c r="A815" t="s">
        <v>5</v>
      </c>
      <c r="B815" t="s">
        <v>10</v>
      </c>
      <c r="C815">
        <v>84.47</v>
      </c>
      <c r="D815">
        <v>77.456239999999994</v>
      </c>
      <c r="E815" s="1">
        <v>43862</v>
      </c>
    </row>
    <row r="816" spans="1:5" x14ac:dyDescent="0.25">
      <c r="A816" t="s">
        <v>5</v>
      </c>
      <c r="B816" t="s">
        <v>10</v>
      </c>
      <c r="C816">
        <v>78.599999999999994</v>
      </c>
      <c r="D816">
        <v>78.821870000000004</v>
      </c>
      <c r="E816" s="1">
        <v>43891</v>
      </c>
    </row>
    <row r="817" spans="1:5" x14ac:dyDescent="0.25">
      <c r="A817" t="s">
        <v>5</v>
      </c>
      <c r="B817" t="s">
        <v>10</v>
      </c>
      <c r="C817">
        <v>64.92</v>
      </c>
      <c r="D817">
        <v>62.533999999999999</v>
      </c>
      <c r="E817" s="1">
        <v>43922</v>
      </c>
    </row>
    <row r="818" spans="1:5" x14ac:dyDescent="0.25">
      <c r="A818" t="s">
        <v>5</v>
      </c>
      <c r="B818" t="s">
        <v>10</v>
      </c>
      <c r="C818">
        <v>66.19</v>
      </c>
      <c r="D818">
        <v>67.000559999999993</v>
      </c>
      <c r="E818" s="1">
        <v>43952</v>
      </c>
    </row>
    <row r="819" spans="1:5" x14ac:dyDescent="0.25">
      <c r="A819" t="s">
        <v>5</v>
      </c>
      <c r="B819" t="s">
        <v>10</v>
      </c>
      <c r="C819">
        <v>70.069999999999993</v>
      </c>
      <c r="D819">
        <v>70.540279999999996</v>
      </c>
      <c r="E819" s="1">
        <v>43983</v>
      </c>
    </row>
    <row r="820" spans="1:5" x14ac:dyDescent="0.25">
      <c r="A820" t="s">
        <v>5</v>
      </c>
      <c r="B820" t="s">
        <v>10</v>
      </c>
      <c r="C820">
        <v>72.64</v>
      </c>
      <c r="D820">
        <v>76.076859999999996</v>
      </c>
      <c r="E820" s="1">
        <v>44013</v>
      </c>
    </row>
    <row r="821" spans="1:5" x14ac:dyDescent="0.25">
      <c r="A821" t="s">
        <v>5</v>
      </c>
      <c r="B821" t="s">
        <v>10</v>
      </c>
      <c r="C821">
        <v>75.78</v>
      </c>
      <c r="D821">
        <v>79.191609999999997</v>
      </c>
      <c r="E821" s="1">
        <v>44044</v>
      </c>
    </row>
    <row r="822" spans="1:5" x14ac:dyDescent="0.25">
      <c r="A822" t="s">
        <v>5</v>
      </c>
      <c r="B822" t="s">
        <v>10</v>
      </c>
      <c r="C822">
        <v>77.89</v>
      </c>
      <c r="D822">
        <v>80.319389999999999</v>
      </c>
      <c r="E822" s="1">
        <v>44075</v>
      </c>
    </row>
    <row r="823" spans="1:5" x14ac:dyDescent="0.25">
      <c r="A823" t="s">
        <v>5</v>
      </c>
      <c r="B823" t="s">
        <v>10</v>
      </c>
      <c r="C823">
        <v>80.489999999999995</v>
      </c>
      <c r="D823">
        <v>82.365759999999995</v>
      </c>
      <c r="E823" s="1">
        <v>44105</v>
      </c>
    </row>
    <row r="824" spans="1:5" x14ac:dyDescent="0.25">
      <c r="A824" t="s">
        <v>5</v>
      </c>
      <c r="B824" t="s">
        <v>10</v>
      </c>
      <c r="C824">
        <v>81.83</v>
      </c>
      <c r="D824">
        <v>81.240279999999998</v>
      </c>
      <c r="E824" s="1">
        <v>44136</v>
      </c>
    </row>
    <row r="825" spans="1:5" x14ac:dyDescent="0.25">
      <c r="A825" t="s">
        <v>5</v>
      </c>
      <c r="B825" t="s">
        <v>10</v>
      </c>
      <c r="C825">
        <v>80.849999999999994</v>
      </c>
      <c r="D825">
        <v>83.305350000000004</v>
      </c>
      <c r="E825" s="1">
        <v>44166</v>
      </c>
    </row>
    <row r="826" spans="1:5" x14ac:dyDescent="0.25">
      <c r="A826" t="s">
        <v>5</v>
      </c>
      <c r="B826" t="s">
        <v>10</v>
      </c>
      <c r="C826">
        <v>83.24</v>
      </c>
      <c r="D826">
        <v>77.901240000000001</v>
      </c>
      <c r="E826" s="1">
        <v>44197</v>
      </c>
    </row>
    <row r="827" spans="1:5" x14ac:dyDescent="0.25">
      <c r="A827" t="s">
        <v>5</v>
      </c>
      <c r="B827" t="s">
        <v>10</v>
      </c>
      <c r="C827">
        <v>87.08</v>
      </c>
      <c r="D827">
        <v>77.52937</v>
      </c>
      <c r="E827" s="1">
        <v>44228</v>
      </c>
    </row>
    <row r="828" spans="1:5" x14ac:dyDescent="0.25">
      <c r="A828" t="s">
        <v>5</v>
      </c>
      <c r="B828" t="s">
        <v>10</v>
      </c>
      <c r="C828">
        <v>84.04</v>
      </c>
      <c r="D828">
        <v>85.757180000000005</v>
      </c>
      <c r="E828" s="1">
        <v>44256</v>
      </c>
    </row>
    <row r="829" spans="1:5" x14ac:dyDescent="0.25">
      <c r="A829" t="s">
        <v>5</v>
      </c>
      <c r="B829" t="s">
        <v>10</v>
      </c>
      <c r="C829">
        <v>85.13</v>
      </c>
      <c r="D829">
        <v>81.908159999999995</v>
      </c>
      <c r="E829" s="1">
        <v>44287</v>
      </c>
    </row>
    <row r="830" spans="1:5" x14ac:dyDescent="0.25">
      <c r="A830" t="s">
        <v>5</v>
      </c>
      <c r="B830" t="s">
        <v>10</v>
      </c>
      <c r="C830">
        <v>88.03</v>
      </c>
      <c r="D830">
        <v>88.83211</v>
      </c>
      <c r="E830" s="1">
        <v>44317</v>
      </c>
    </row>
    <row r="831" spans="1:5" x14ac:dyDescent="0.25">
      <c r="A831" t="s">
        <v>5</v>
      </c>
      <c r="B831" t="s">
        <v>10</v>
      </c>
      <c r="C831">
        <v>89</v>
      </c>
      <c r="D831">
        <v>90.05001</v>
      </c>
      <c r="E831" s="1">
        <v>44348</v>
      </c>
    </row>
    <row r="832" spans="1:5" x14ac:dyDescent="0.25">
      <c r="A832" t="s">
        <v>5</v>
      </c>
      <c r="B832" t="s">
        <v>10</v>
      </c>
      <c r="C832">
        <v>88.27</v>
      </c>
      <c r="D832">
        <v>92.047160000000005</v>
      </c>
      <c r="E832" s="1">
        <v>44378</v>
      </c>
    </row>
    <row r="833" spans="1:5" x14ac:dyDescent="0.25">
      <c r="A833" t="s">
        <v>5</v>
      </c>
      <c r="B833" t="s">
        <v>10</v>
      </c>
      <c r="C833">
        <v>89.77</v>
      </c>
      <c r="D833">
        <v>94.491579999999999</v>
      </c>
      <c r="E833" s="1">
        <v>44409</v>
      </c>
    </row>
    <row r="834" spans="1:5" x14ac:dyDescent="0.25">
      <c r="A834" t="s">
        <v>5</v>
      </c>
      <c r="B834" t="s">
        <v>10</v>
      </c>
      <c r="C834">
        <v>88.8</v>
      </c>
      <c r="D834">
        <v>91.360150000000004</v>
      </c>
      <c r="E834" s="1">
        <v>44440</v>
      </c>
    </row>
    <row r="835" spans="1:5" x14ac:dyDescent="0.25">
      <c r="A835" t="s">
        <v>5</v>
      </c>
      <c r="B835" t="s">
        <v>10</v>
      </c>
      <c r="C835">
        <v>90.01</v>
      </c>
      <c r="D835">
        <v>90.545599999999993</v>
      </c>
      <c r="E835" s="1">
        <v>44470</v>
      </c>
    </row>
    <row r="836" spans="1:5" x14ac:dyDescent="0.25">
      <c r="A836" t="s">
        <v>5</v>
      </c>
      <c r="B836" t="s">
        <v>10</v>
      </c>
      <c r="C836">
        <v>91.96</v>
      </c>
      <c r="D836">
        <v>92.340710000000001</v>
      </c>
      <c r="E836" s="1">
        <v>44501</v>
      </c>
    </row>
    <row r="837" spans="1:5" x14ac:dyDescent="0.25">
      <c r="A837" t="s">
        <v>5</v>
      </c>
      <c r="B837" t="s">
        <v>10</v>
      </c>
      <c r="C837">
        <v>93.73</v>
      </c>
      <c r="D837">
        <v>96.405060000000006</v>
      </c>
      <c r="E837" s="1">
        <v>44531</v>
      </c>
    </row>
    <row r="838" spans="1:5" x14ac:dyDescent="0.25">
      <c r="A838" t="s">
        <v>5</v>
      </c>
      <c r="B838" t="s">
        <v>10</v>
      </c>
      <c r="C838">
        <v>96.08</v>
      </c>
      <c r="D838">
        <v>89.68083</v>
      </c>
      <c r="E838" s="1">
        <v>44562</v>
      </c>
    </row>
    <row r="839" spans="1:5" x14ac:dyDescent="0.25">
      <c r="A839" t="s">
        <v>5</v>
      </c>
      <c r="B839" t="s">
        <v>10</v>
      </c>
      <c r="C839">
        <v>99.01</v>
      </c>
      <c r="D839">
        <v>88.421710000000004</v>
      </c>
      <c r="E839" s="1">
        <v>44593</v>
      </c>
    </row>
    <row r="840" spans="1:5" x14ac:dyDescent="0.25">
      <c r="A840" t="s">
        <v>5</v>
      </c>
      <c r="B840" t="s">
        <v>10</v>
      </c>
      <c r="C840">
        <v>98.39</v>
      </c>
      <c r="D840">
        <v>100.64192</v>
      </c>
      <c r="E840" s="1">
        <v>44621</v>
      </c>
    </row>
    <row r="841" spans="1:5" x14ac:dyDescent="0.25">
      <c r="A841" t="s">
        <v>5</v>
      </c>
      <c r="B841" t="s">
        <v>10</v>
      </c>
      <c r="C841">
        <v>98.81</v>
      </c>
      <c r="D841">
        <v>94.722229999999996</v>
      </c>
      <c r="E841" s="1">
        <v>44652</v>
      </c>
    </row>
    <row r="842" spans="1:5" x14ac:dyDescent="0.25">
      <c r="A842" t="s">
        <v>5</v>
      </c>
      <c r="B842" t="s">
        <v>10</v>
      </c>
      <c r="C842">
        <v>97.89</v>
      </c>
      <c r="D842">
        <v>99.385059999999996</v>
      </c>
      <c r="E842" s="1">
        <v>44682</v>
      </c>
    </row>
    <row r="843" spans="1:5" x14ac:dyDescent="0.25">
      <c r="A843" t="s">
        <v>5</v>
      </c>
      <c r="B843" t="s">
        <v>10</v>
      </c>
      <c r="C843">
        <v>97.86</v>
      </c>
      <c r="D843">
        <v>99.139979999999994</v>
      </c>
      <c r="E843" s="1">
        <v>44713</v>
      </c>
    </row>
    <row r="844" spans="1:5" x14ac:dyDescent="0.25">
      <c r="A844" t="s">
        <v>5</v>
      </c>
      <c r="B844" t="s">
        <v>10</v>
      </c>
      <c r="C844">
        <v>100.81</v>
      </c>
      <c r="D844">
        <v>103.91275</v>
      </c>
      <c r="E844" s="1">
        <v>44743</v>
      </c>
    </row>
    <row r="845" spans="1:5" x14ac:dyDescent="0.25">
      <c r="A845" t="s">
        <v>5</v>
      </c>
      <c r="B845" t="s">
        <v>10</v>
      </c>
      <c r="C845">
        <v>101.99</v>
      </c>
      <c r="D845">
        <v>108.95581</v>
      </c>
      <c r="E845" s="1">
        <v>44774</v>
      </c>
    </row>
    <row r="846" spans="1:5" x14ac:dyDescent="0.25">
      <c r="A846" t="s">
        <v>5</v>
      </c>
      <c r="B846" t="s">
        <v>10</v>
      </c>
      <c r="C846">
        <v>102.26</v>
      </c>
      <c r="D846">
        <v>105.08134</v>
      </c>
      <c r="E846" s="1">
        <v>44805</v>
      </c>
    </row>
    <row r="847" spans="1:5" x14ac:dyDescent="0.25">
      <c r="A847" t="s">
        <v>5</v>
      </c>
      <c r="B847" t="s">
        <v>10</v>
      </c>
      <c r="C847">
        <v>101.46</v>
      </c>
      <c r="D847">
        <v>101.65676999999999</v>
      </c>
      <c r="E847" s="1">
        <v>44835</v>
      </c>
    </row>
    <row r="848" spans="1:5" x14ac:dyDescent="0.25">
      <c r="A848" t="s">
        <v>5</v>
      </c>
      <c r="B848" t="s">
        <v>10</v>
      </c>
      <c r="C848">
        <v>101.91</v>
      </c>
      <c r="D848">
        <v>102.13943999999999</v>
      </c>
      <c r="E848" s="1">
        <v>44866</v>
      </c>
    </row>
    <row r="849" spans="1:5" x14ac:dyDescent="0.25">
      <c r="A849" t="s">
        <v>5</v>
      </c>
      <c r="B849" t="s">
        <v>10</v>
      </c>
      <c r="C849">
        <v>103.99</v>
      </c>
      <c r="D849">
        <v>106.26215000000001</v>
      </c>
      <c r="E849" s="1">
        <v>44896</v>
      </c>
    </row>
    <row r="850" spans="1:5" x14ac:dyDescent="0.25">
      <c r="A850" t="s">
        <v>5</v>
      </c>
      <c r="B850" t="s">
        <v>10</v>
      </c>
      <c r="C850">
        <v>100.36</v>
      </c>
      <c r="D850">
        <v>94.141990000000007</v>
      </c>
      <c r="E850" s="1">
        <v>44927</v>
      </c>
    </row>
    <row r="851" spans="1:5" x14ac:dyDescent="0.25">
      <c r="A851" t="s">
        <v>5</v>
      </c>
      <c r="B851" t="s">
        <v>10</v>
      </c>
      <c r="C851">
        <v>103.73</v>
      </c>
      <c r="D851">
        <v>92.744280000000003</v>
      </c>
      <c r="E851" s="1">
        <v>44958</v>
      </c>
    </row>
    <row r="852" spans="1:5" x14ac:dyDescent="0.25">
      <c r="A852" t="s">
        <v>5</v>
      </c>
      <c r="B852" t="s">
        <v>10</v>
      </c>
      <c r="C852">
        <v>106.35</v>
      </c>
      <c r="D852">
        <v>108.88903000000001</v>
      </c>
      <c r="E852" s="1">
        <v>44986</v>
      </c>
    </row>
    <row r="853" spans="1:5" x14ac:dyDescent="0.25">
      <c r="A853" t="s">
        <v>5</v>
      </c>
      <c r="B853" t="s">
        <v>10</v>
      </c>
      <c r="C853">
        <v>101.57</v>
      </c>
      <c r="D853">
        <v>96.175780000000003</v>
      </c>
      <c r="E853" s="1">
        <v>45017</v>
      </c>
    </row>
    <row r="854" spans="1:5" x14ac:dyDescent="0.25">
      <c r="A854" t="s">
        <v>5</v>
      </c>
      <c r="B854" t="s">
        <v>10</v>
      </c>
      <c r="C854">
        <v>103.24</v>
      </c>
      <c r="D854">
        <v>106.34228</v>
      </c>
      <c r="E854" s="1">
        <v>45047</v>
      </c>
    </row>
    <row r="855" spans="1:5" x14ac:dyDescent="0.25">
      <c r="A855" t="s">
        <v>5</v>
      </c>
      <c r="B855" t="s">
        <v>10</v>
      </c>
      <c r="C855">
        <v>102.11</v>
      </c>
      <c r="D855">
        <v>103.67473</v>
      </c>
      <c r="E855" s="1">
        <v>45078</v>
      </c>
    </row>
    <row r="856" spans="1:5" x14ac:dyDescent="0.25">
      <c r="A856" t="s">
        <v>5</v>
      </c>
      <c r="B856" t="s">
        <v>10</v>
      </c>
      <c r="C856">
        <v>103.39</v>
      </c>
      <c r="D856">
        <v>106.4256</v>
      </c>
      <c r="E856" s="1">
        <v>45108</v>
      </c>
    </row>
    <row r="857" spans="1:5" x14ac:dyDescent="0.25">
      <c r="A857" t="s">
        <v>5</v>
      </c>
      <c r="B857" t="s">
        <v>10</v>
      </c>
      <c r="C857">
        <v>100.99</v>
      </c>
      <c r="D857">
        <v>107.88431</v>
      </c>
      <c r="E857" s="1">
        <v>45139</v>
      </c>
    </row>
    <row r="858" spans="1:5" x14ac:dyDescent="0.25">
      <c r="A858" t="s">
        <v>5</v>
      </c>
      <c r="B858" t="s">
        <v>10</v>
      </c>
      <c r="C858">
        <v>100.66</v>
      </c>
      <c r="D858">
        <v>102.97417</v>
      </c>
      <c r="E858" s="1">
        <v>45170</v>
      </c>
    </row>
    <row r="859" spans="1:5" x14ac:dyDescent="0.25">
      <c r="A859" t="s">
        <v>5</v>
      </c>
      <c r="B859" t="s">
        <v>10</v>
      </c>
      <c r="C859">
        <v>99.82</v>
      </c>
      <c r="D859">
        <v>100.70574999999999</v>
      </c>
      <c r="E859" s="1">
        <v>45200</v>
      </c>
    </row>
    <row r="860" spans="1:5" x14ac:dyDescent="0.25">
      <c r="A860" t="s">
        <v>5</v>
      </c>
      <c r="B860" t="s">
        <v>10</v>
      </c>
      <c r="C860">
        <v>98.85</v>
      </c>
      <c r="D860">
        <v>98.421620000000004</v>
      </c>
      <c r="E860" s="1">
        <v>45231</v>
      </c>
    </row>
    <row r="861" spans="1:5" x14ac:dyDescent="0.25">
      <c r="A861" t="s">
        <v>5</v>
      </c>
      <c r="B861" t="s">
        <v>10</v>
      </c>
      <c r="C861">
        <v>98.96</v>
      </c>
      <c r="D861">
        <v>99.862710000000007</v>
      </c>
      <c r="E861" s="1">
        <v>45261</v>
      </c>
    </row>
    <row r="862" spans="1:5" x14ac:dyDescent="0.25">
      <c r="A862" t="s">
        <v>5</v>
      </c>
      <c r="B862" t="s">
        <v>10</v>
      </c>
      <c r="C862">
        <v>100.99</v>
      </c>
      <c r="D862">
        <v>95.927400000000006</v>
      </c>
      <c r="E862" s="1">
        <v>45292</v>
      </c>
    </row>
    <row r="863" spans="1:5" x14ac:dyDescent="0.25">
      <c r="A863" t="s">
        <v>5</v>
      </c>
      <c r="B863" t="s">
        <v>10</v>
      </c>
      <c r="C863">
        <v>99.16</v>
      </c>
      <c r="D863">
        <v>91.976389999999995</v>
      </c>
      <c r="E863" s="1">
        <v>45323</v>
      </c>
    </row>
    <row r="864" spans="1:5" x14ac:dyDescent="0.25">
      <c r="A864" t="s">
        <v>5</v>
      </c>
      <c r="B864" t="s">
        <v>10</v>
      </c>
      <c r="C864">
        <v>99.2</v>
      </c>
      <c r="D864">
        <v>97.708960000000005</v>
      </c>
      <c r="E864" s="1">
        <v>45352</v>
      </c>
    </row>
    <row r="865" spans="1:5" x14ac:dyDescent="0.25">
      <c r="A865" t="s">
        <v>5</v>
      </c>
      <c r="B865" t="s">
        <v>10</v>
      </c>
      <c r="C865">
        <v>100.66</v>
      </c>
      <c r="D865">
        <v>99.414860000000004</v>
      </c>
      <c r="E865" s="1">
        <v>45383</v>
      </c>
    </row>
    <row r="866" spans="1:5" x14ac:dyDescent="0.25">
      <c r="A866" t="s">
        <v>5</v>
      </c>
      <c r="B866" t="s">
        <v>10</v>
      </c>
      <c r="C866">
        <v>99.18</v>
      </c>
      <c r="D866">
        <v>101.35223000000001</v>
      </c>
      <c r="E866" s="1">
        <v>45413</v>
      </c>
    </row>
    <row r="867" spans="1:5" x14ac:dyDescent="0.25">
      <c r="A867" t="s">
        <v>5</v>
      </c>
      <c r="B867" t="s">
        <v>10</v>
      </c>
      <c r="C867">
        <v>100.59</v>
      </c>
      <c r="D867">
        <v>101.04324</v>
      </c>
      <c r="E867" s="1">
        <v>45444</v>
      </c>
    </row>
    <row r="868" spans="1:5" x14ac:dyDescent="0.25">
      <c r="A868" t="s">
        <v>5</v>
      </c>
      <c r="B868" t="s">
        <v>10</v>
      </c>
      <c r="C868">
        <v>99.3</v>
      </c>
      <c r="D868">
        <v>104.72772999999999</v>
      </c>
      <c r="E868" s="1">
        <v>45474</v>
      </c>
    </row>
    <row r="869" spans="1:5" x14ac:dyDescent="0.25">
      <c r="A869" t="s">
        <v>5</v>
      </c>
      <c r="B869" t="s">
        <v>10</v>
      </c>
      <c r="C869">
        <v>99.31</v>
      </c>
      <c r="D869">
        <v>105.06892999999999</v>
      </c>
      <c r="E869" s="1">
        <v>45505</v>
      </c>
    </row>
    <row r="870" spans="1:5" x14ac:dyDescent="0.25">
      <c r="A870" t="s">
        <v>5</v>
      </c>
      <c r="B870" t="s">
        <v>10</v>
      </c>
      <c r="C870">
        <v>101.04</v>
      </c>
      <c r="D870">
        <v>102.21120999999999</v>
      </c>
      <c r="E870" s="1">
        <v>45536</v>
      </c>
    </row>
    <row r="871" spans="1:5" x14ac:dyDescent="0.25">
      <c r="A871" t="s">
        <v>5</v>
      </c>
      <c r="B871" t="s">
        <v>10</v>
      </c>
      <c r="C871">
        <v>104.9</v>
      </c>
      <c r="D871">
        <v>107.76057</v>
      </c>
      <c r="E871" s="1">
        <v>45566</v>
      </c>
    </row>
    <row r="872" spans="1:5" x14ac:dyDescent="0.25">
      <c r="A872" t="s">
        <v>5</v>
      </c>
      <c r="B872" t="s">
        <v>10</v>
      </c>
      <c r="C872">
        <v>101.31</v>
      </c>
      <c r="D872">
        <v>100.13418</v>
      </c>
      <c r="E872" s="1">
        <v>45597</v>
      </c>
    </row>
    <row r="873" spans="1:5" x14ac:dyDescent="0.25">
      <c r="A873" t="s">
        <v>5</v>
      </c>
      <c r="B873" t="s">
        <v>10</v>
      </c>
      <c r="C873">
        <v>101.73</v>
      </c>
      <c r="D873">
        <v>103.17937000000001</v>
      </c>
      <c r="E873" s="1">
        <v>45627</v>
      </c>
    </row>
    <row r="874" spans="1:5" x14ac:dyDescent="0.25">
      <c r="A874" t="s">
        <v>5</v>
      </c>
      <c r="B874" t="s">
        <v>10</v>
      </c>
      <c r="C874">
        <v>100.56</v>
      </c>
      <c r="D874">
        <v>95.242199999999997</v>
      </c>
      <c r="E874" s="1">
        <v>45658</v>
      </c>
    </row>
    <row r="875" spans="1:5" x14ac:dyDescent="0.25">
      <c r="A875" t="s">
        <v>5</v>
      </c>
      <c r="B875" t="s">
        <v>10</v>
      </c>
      <c r="C875">
        <v>101.43</v>
      </c>
      <c r="D875">
        <v>94.312089999999998</v>
      </c>
      <c r="E875" s="1">
        <v>45689</v>
      </c>
    </row>
    <row r="876" spans="1:5" x14ac:dyDescent="0.25">
      <c r="A876" t="s">
        <v>5</v>
      </c>
      <c r="B876" t="s">
        <v>10</v>
      </c>
      <c r="C876">
        <v>102.61</v>
      </c>
      <c r="D876">
        <v>98.890460000000004</v>
      </c>
      <c r="E876" s="1">
        <v>45717</v>
      </c>
    </row>
    <row r="877" spans="1:5" x14ac:dyDescent="0.25">
      <c r="A877" t="s">
        <v>5</v>
      </c>
      <c r="B877" t="s">
        <v>10</v>
      </c>
      <c r="C877">
        <v>103.21</v>
      </c>
      <c r="D877">
        <v>100.48217</v>
      </c>
      <c r="E877" s="1">
        <v>45748</v>
      </c>
    </row>
    <row r="878" spans="1:5" x14ac:dyDescent="0.25">
      <c r="A878" t="s">
        <v>5</v>
      </c>
      <c r="B878" t="s">
        <v>10</v>
      </c>
      <c r="C878">
        <v>102.87</v>
      </c>
      <c r="D878">
        <v>105.05695</v>
      </c>
      <c r="E878" s="1">
        <v>45778</v>
      </c>
    </row>
    <row r="879" spans="1:5" x14ac:dyDescent="0.25">
      <c r="A879" t="s">
        <v>5</v>
      </c>
      <c r="B879" t="s">
        <v>10</v>
      </c>
      <c r="C879">
        <v>104.29</v>
      </c>
      <c r="D879">
        <v>104.56505</v>
      </c>
      <c r="E879" s="1">
        <v>45809</v>
      </c>
    </row>
    <row r="880" spans="1:5" x14ac:dyDescent="0.25">
      <c r="A880" t="s">
        <v>5</v>
      </c>
      <c r="B880" t="s">
        <v>10</v>
      </c>
      <c r="C880">
        <v>103.59</v>
      </c>
      <c r="D880">
        <v>109.27217</v>
      </c>
      <c r="E880" s="1">
        <v>45839</v>
      </c>
    </row>
    <row r="881" spans="1:5" x14ac:dyDescent="0.25">
      <c r="A881" t="s">
        <v>5</v>
      </c>
      <c r="B881" t="s">
        <v>10</v>
      </c>
      <c r="C881">
        <v>104.15</v>
      </c>
      <c r="D881">
        <v>108.52016</v>
      </c>
      <c r="E881" s="1">
        <v>45870</v>
      </c>
    </row>
    <row r="882" spans="1:5" x14ac:dyDescent="0.25">
      <c r="A882" t="s">
        <v>5</v>
      </c>
      <c r="B882" t="s">
        <v>11</v>
      </c>
      <c r="C882">
        <v>109.58</v>
      </c>
      <c r="D882">
        <v>105.95484</v>
      </c>
      <c r="E882" s="1">
        <v>40544</v>
      </c>
    </row>
    <row r="883" spans="1:5" x14ac:dyDescent="0.25">
      <c r="A883" t="s">
        <v>5</v>
      </c>
      <c r="B883" t="s">
        <v>11</v>
      </c>
      <c r="C883">
        <v>108.62</v>
      </c>
      <c r="D883">
        <v>105.51536</v>
      </c>
      <c r="E883" s="1">
        <v>40575</v>
      </c>
    </row>
    <row r="884" spans="1:5" x14ac:dyDescent="0.25">
      <c r="A884" t="s">
        <v>5</v>
      </c>
      <c r="B884" t="s">
        <v>11</v>
      </c>
      <c r="C884">
        <v>109.89</v>
      </c>
      <c r="D884">
        <v>107.93602</v>
      </c>
      <c r="E884" s="1">
        <v>40603</v>
      </c>
    </row>
    <row r="885" spans="1:5" x14ac:dyDescent="0.25">
      <c r="A885" t="s">
        <v>5</v>
      </c>
      <c r="B885" t="s">
        <v>11</v>
      </c>
      <c r="C885">
        <v>107.8</v>
      </c>
      <c r="D885">
        <v>105.83538</v>
      </c>
      <c r="E885" s="1">
        <v>40634</v>
      </c>
    </row>
    <row r="886" spans="1:5" x14ac:dyDescent="0.25">
      <c r="A886" t="s">
        <v>5</v>
      </c>
      <c r="B886" t="s">
        <v>11</v>
      </c>
      <c r="C886">
        <v>110.89</v>
      </c>
      <c r="D886">
        <v>112.23802000000001</v>
      </c>
      <c r="E886" s="1">
        <v>40664</v>
      </c>
    </row>
    <row r="887" spans="1:5" x14ac:dyDescent="0.25">
      <c r="A887" t="s">
        <v>5</v>
      </c>
      <c r="B887" t="s">
        <v>11</v>
      </c>
      <c r="C887">
        <v>108.98</v>
      </c>
      <c r="D887">
        <v>108.19001</v>
      </c>
      <c r="E887" s="1">
        <v>40695</v>
      </c>
    </row>
    <row r="888" spans="1:5" x14ac:dyDescent="0.25">
      <c r="A888" t="s">
        <v>5</v>
      </c>
      <c r="B888" t="s">
        <v>11</v>
      </c>
      <c r="C888">
        <v>110.38</v>
      </c>
      <c r="D888">
        <v>108.01366</v>
      </c>
      <c r="E888" s="1">
        <v>40725</v>
      </c>
    </row>
    <row r="889" spans="1:5" x14ac:dyDescent="0.25">
      <c r="A889" t="s">
        <v>5</v>
      </c>
      <c r="B889" t="s">
        <v>11</v>
      </c>
      <c r="C889">
        <v>110.32</v>
      </c>
      <c r="D889">
        <v>113.28489999999999</v>
      </c>
      <c r="E889" s="1">
        <v>40756</v>
      </c>
    </row>
    <row r="890" spans="1:5" x14ac:dyDescent="0.25">
      <c r="A890" t="s">
        <v>5</v>
      </c>
      <c r="B890" t="s">
        <v>11</v>
      </c>
      <c r="C890">
        <v>106.36</v>
      </c>
      <c r="D890">
        <v>107.17610000000001</v>
      </c>
      <c r="E890" s="1">
        <v>40787</v>
      </c>
    </row>
    <row r="891" spans="1:5" x14ac:dyDescent="0.25">
      <c r="A891" t="s">
        <v>5</v>
      </c>
      <c r="B891" t="s">
        <v>11</v>
      </c>
      <c r="C891">
        <v>106.62</v>
      </c>
      <c r="D891">
        <v>105.35592</v>
      </c>
      <c r="E891" s="1">
        <v>40817</v>
      </c>
    </row>
    <row r="892" spans="1:5" x14ac:dyDescent="0.25">
      <c r="A892" t="s">
        <v>5</v>
      </c>
      <c r="B892" t="s">
        <v>11</v>
      </c>
      <c r="C892">
        <v>106.89</v>
      </c>
      <c r="D892">
        <v>105.20918</v>
      </c>
      <c r="E892" s="1">
        <v>40848</v>
      </c>
    </row>
    <row r="893" spans="1:5" x14ac:dyDescent="0.25">
      <c r="A893" t="s">
        <v>5</v>
      </c>
      <c r="B893" t="s">
        <v>11</v>
      </c>
      <c r="C893">
        <v>106.41</v>
      </c>
      <c r="D893">
        <v>116.20593</v>
      </c>
      <c r="E893" s="1">
        <v>40878</v>
      </c>
    </row>
    <row r="894" spans="1:5" x14ac:dyDescent="0.25">
      <c r="A894" t="s">
        <v>5</v>
      </c>
      <c r="B894" t="s">
        <v>11</v>
      </c>
      <c r="C894">
        <v>113.16</v>
      </c>
      <c r="D894">
        <v>110.64773</v>
      </c>
      <c r="E894" s="1">
        <v>40909</v>
      </c>
    </row>
    <row r="895" spans="1:5" x14ac:dyDescent="0.25">
      <c r="A895" t="s">
        <v>5</v>
      </c>
      <c r="B895" t="s">
        <v>11</v>
      </c>
      <c r="C895">
        <v>107.75</v>
      </c>
      <c r="D895">
        <v>104.71664</v>
      </c>
      <c r="E895" s="1">
        <v>40940</v>
      </c>
    </row>
    <row r="896" spans="1:5" x14ac:dyDescent="0.25">
      <c r="A896" t="s">
        <v>5</v>
      </c>
      <c r="B896" t="s">
        <v>11</v>
      </c>
      <c r="C896">
        <v>109.87</v>
      </c>
      <c r="D896">
        <v>110.35917000000001</v>
      </c>
      <c r="E896" s="1">
        <v>40969</v>
      </c>
    </row>
    <row r="897" spans="1:5" x14ac:dyDescent="0.25">
      <c r="A897" t="s">
        <v>5</v>
      </c>
      <c r="B897" t="s">
        <v>11</v>
      </c>
      <c r="C897">
        <v>108.77</v>
      </c>
      <c r="D897">
        <v>106.90689999999999</v>
      </c>
      <c r="E897" s="1">
        <v>41000</v>
      </c>
    </row>
    <row r="898" spans="1:5" x14ac:dyDescent="0.25">
      <c r="A898" t="s">
        <v>5</v>
      </c>
      <c r="B898" t="s">
        <v>11</v>
      </c>
      <c r="C898">
        <v>110.08</v>
      </c>
      <c r="D898">
        <v>112.79971</v>
      </c>
      <c r="E898" s="1">
        <v>41030</v>
      </c>
    </row>
    <row r="899" spans="1:5" x14ac:dyDescent="0.25">
      <c r="A899" t="s">
        <v>5</v>
      </c>
      <c r="B899" t="s">
        <v>11</v>
      </c>
      <c r="C899">
        <v>110.22</v>
      </c>
      <c r="D899">
        <v>107.90127</v>
      </c>
      <c r="E899" s="1">
        <v>41061</v>
      </c>
    </row>
    <row r="900" spans="1:5" x14ac:dyDescent="0.25">
      <c r="A900" t="s">
        <v>5</v>
      </c>
      <c r="B900" t="s">
        <v>11</v>
      </c>
      <c r="C900">
        <v>111.66</v>
      </c>
      <c r="D900">
        <v>110.18733</v>
      </c>
      <c r="E900" s="1">
        <v>41091</v>
      </c>
    </row>
    <row r="901" spans="1:5" x14ac:dyDescent="0.25">
      <c r="A901" t="s">
        <v>5</v>
      </c>
      <c r="B901" t="s">
        <v>11</v>
      </c>
      <c r="C901">
        <v>107.21</v>
      </c>
      <c r="D901">
        <v>109.86085</v>
      </c>
      <c r="E901" s="1">
        <v>41122</v>
      </c>
    </row>
    <row r="902" spans="1:5" x14ac:dyDescent="0.25">
      <c r="A902" t="s">
        <v>5</v>
      </c>
      <c r="B902" t="s">
        <v>11</v>
      </c>
      <c r="C902">
        <v>108.47</v>
      </c>
      <c r="D902">
        <v>107.68734000000001</v>
      </c>
      <c r="E902" s="1">
        <v>41153</v>
      </c>
    </row>
    <row r="903" spans="1:5" x14ac:dyDescent="0.25">
      <c r="A903" t="s">
        <v>5</v>
      </c>
      <c r="B903" t="s">
        <v>11</v>
      </c>
      <c r="C903">
        <v>105.71</v>
      </c>
      <c r="D903">
        <v>107.52204</v>
      </c>
      <c r="E903" s="1">
        <v>41183</v>
      </c>
    </row>
    <row r="904" spans="1:5" x14ac:dyDescent="0.25">
      <c r="A904" t="s">
        <v>5</v>
      </c>
      <c r="B904" t="s">
        <v>11</v>
      </c>
      <c r="C904">
        <v>104.67</v>
      </c>
      <c r="D904">
        <v>102.44880999999999</v>
      </c>
      <c r="E904" s="1">
        <v>41214</v>
      </c>
    </row>
    <row r="905" spans="1:5" x14ac:dyDescent="0.25">
      <c r="A905" t="s">
        <v>5</v>
      </c>
      <c r="B905" t="s">
        <v>11</v>
      </c>
      <c r="C905">
        <v>109.35</v>
      </c>
      <c r="D905">
        <v>118.41284</v>
      </c>
      <c r="E905" s="1">
        <v>41244</v>
      </c>
    </row>
    <row r="906" spans="1:5" x14ac:dyDescent="0.25">
      <c r="A906" t="s">
        <v>5</v>
      </c>
      <c r="B906" t="s">
        <v>11</v>
      </c>
      <c r="C906">
        <v>107.11</v>
      </c>
      <c r="D906">
        <v>105.89988</v>
      </c>
      <c r="E906" s="1">
        <v>41275</v>
      </c>
    </row>
    <row r="907" spans="1:5" x14ac:dyDescent="0.25">
      <c r="A907" t="s">
        <v>5</v>
      </c>
      <c r="B907" t="s">
        <v>11</v>
      </c>
      <c r="C907">
        <v>109.08</v>
      </c>
      <c r="D907">
        <v>101.54591000000001</v>
      </c>
      <c r="E907" s="1">
        <v>41306</v>
      </c>
    </row>
    <row r="908" spans="1:5" x14ac:dyDescent="0.25">
      <c r="A908" t="s">
        <v>5</v>
      </c>
      <c r="B908" t="s">
        <v>11</v>
      </c>
      <c r="C908">
        <v>106.78</v>
      </c>
      <c r="D908">
        <v>105.16621000000001</v>
      </c>
      <c r="E908" s="1">
        <v>41334</v>
      </c>
    </row>
    <row r="909" spans="1:5" x14ac:dyDescent="0.25">
      <c r="A909" t="s">
        <v>5</v>
      </c>
      <c r="B909" t="s">
        <v>11</v>
      </c>
      <c r="C909">
        <v>106.1</v>
      </c>
      <c r="D909">
        <v>106.81605999999999</v>
      </c>
      <c r="E909" s="1">
        <v>41365</v>
      </c>
    </row>
    <row r="910" spans="1:5" x14ac:dyDescent="0.25">
      <c r="A910" t="s">
        <v>5</v>
      </c>
      <c r="B910" t="s">
        <v>11</v>
      </c>
      <c r="C910">
        <v>105.76</v>
      </c>
      <c r="D910">
        <v>106.80919</v>
      </c>
      <c r="E910" s="1">
        <v>41395</v>
      </c>
    </row>
    <row r="911" spans="1:5" x14ac:dyDescent="0.25">
      <c r="A911" t="s">
        <v>5</v>
      </c>
      <c r="B911" t="s">
        <v>11</v>
      </c>
      <c r="C911">
        <v>112.85</v>
      </c>
      <c r="D911">
        <v>110.30513999999999</v>
      </c>
      <c r="E911" s="1">
        <v>41426</v>
      </c>
    </row>
    <row r="912" spans="1:5" x14ac:dyDescent="0.25">
      <c r="A912" t="s">
        <v>5</v>
      </c>
      <c r="B912" t="s">
        <v>11</v>
      </c>
      <c r="C912">
        <v>103.68</v>
      </c>
      <c r="D912">
        <v>103.47714999999999</v>
      </c>
      <c r="E912" s="1">
        <v>41456</v>
      </c>
    </row>
    <row r="913" spans="1:5" x14ac:dyDescent="0.25">
      <c r="A913" t="s">
        <v>5</v>
      </c>
      <c r="B913" t="s">
        <v>11</v>
      </c>
      <c r="C913">
        <v>104.28</v>
      </c>
      <c r="D913">
        <v>105.15303</v>
      </c>
      <c r="E913" s="1">
        <v>41487</v>
      </c>
    </row>
    <row r="914" spans="1:5" x14ac:dyDescent="0.25">
      <c r="A914" t="s">
        <v>5</v>
      </c>
      <c r="B914" t="s">
        <v>11</v>
      </c>
      <c r="C914">
        <v>106.02</v>
      </c>
      <c r="D914">
        <v>106.20072</v>
      </c>
      <c r="E914" s="1">
        <v>41518</v>
      </c>
    </row>
    <row r="915" spans="1:5" x14ac:dyDescent="0.25">
      <c r="A915" t="s">
        <v>5</v>
      </c>
      <c r="B915" t="s">
        <v>11</v>
      </c>
      <c r="C915">
        <v>106.16</v>
      </c>
      <c r="D915">
        <v>108.57848</v>
      </c>
      <c r="E915" s="1">
        <v>41548</v>
      </c>
    </row>
    <row r="916" spans="1:5" x14ac:dyDescent="0.25">
      <c r="A916" t="s">
        <v>5</v>
      </c>
      <c r="B916" t="s">
        <v>11</v>
      </c>
      <c r="C916">
        <v>105.28</v>
      </c>
      <c r="D916">
        <v>103.0262</v>
      </c>
      <c r="E916" s="1">
        <v>41579</v>
      </c>
    </row>
    <row r="917" spans="1:5" x14ac:dyDescent="0.25">
      <c r="A917" t="s">
        <v>5</v>
      </c>
      <c r="B917" t="s">
        <v>11</v>
      </c>
      <c r="C917">
        <v>105.57</v>
      </c>
      <c r="D917">
        <v>115.9367</v>
      </c>
      <c r="E917" s="1">
        <v>41609</v>
      </c>
    </row>
    <row r="918" spans="1:5" x14ac:dyDescent="0.25">
      <c r="A918" t="s">
        <v>5</v>
      </c>
      <c r="B918" t="s">
        <v>11</v>
      </c>
      <c r="C918">
        <v>106.48</v>
      </c>
      <c r="D918">
        <v>104.45001000000001</v>
      </c>
      <c r="E918" s="1">
        <v>41640</v>
      </c>
    </row>
    <row r="919" spans="1:5" x14ac:dyDescent="0.25">
      <c r="A919" t="s">
        <v>5</v>
      </c>
      <c r="B919" t="s">
        <v>11</v>
      </c>
      <c r="C919">
        <v>104.08</v>
      </c>
      <c r="D919">
        <v>99.91234</v>
      </c>
      <c r="E919" s="1">
        <v>41671</v>
      </c>
    </row>
    <row r="920" spans="1:5" x14ac:dyDescent="0.25">
      <c r="A920" t="s">
        <v>5</v>
      </c>
      <c r="B920" t="s">
        <v>11</v>
      </c>
      <c r="C920">
        <v>104</v>
      </c>
      <c r="D920">
        <v>99.743080000000006</v>
      </c>
      <c r="E920" s="1">
        <v>41699</v>
      </c>
    </row>
    <row r="921" spans="1:5" x14ac:dyDescent="0.25">
      <c r="A921" t="s">
        <v>5</v>
      </c>
      <c r="B921" t="s">
        <v>11</v>
      </c>
      <c r="C921">
        <v>107.13</v>
      </c>
      <c r="D921">
        <v>107.55127</v>
      </c>
      <c r="E921" s="1">
        <v>41730</v>
      </c>
    </row>
    <row r="922" spans="1:5" x14ac:dyDescent="0.25">
      <c r="A922" t="s">
        <v>5</v>
      </c>
      <c r="B922" t="s">
        <v>11</v>
      </c>
      <c r="C922">
        <v>103.73</v>
      </c>
      <c r="D922">
        <v>103.66153</v>
      </c>
      <c r="E922" s="1">
        <v>41760</v>
      </c>
    </row>
    <row r="923" spans="1:5" x14ac:dyDescent="0.25">
      <c r="A923" t="s">
        <v>5</v>
      </c>
      <c r="B923" t="s">
        <v>11</v>
      </c>
      <c r="C923">
        <v>104.52</v>
      </c>
      <c r="D923">
        <v>102.1163</v>
      </c>
      <c r="E923" s="1">
        <v>41791</v>
      </c>
    </row>
    <row r="924" spans="1:5" x14ac:dyDescent="0.25">
      <c r="A924" t="s">
        <v>5</v>
      </c>
      <c r="B924" t="s">
        <v>11</v>
      </c>
      <c r="C924">
        <v>103.63</v>
      </c>
      <c r="D924">
        <v>103.21561</v>
      </c>
      <c r="E924" s="1">
        <v>41821</v>
      </c>
    </row>
    <row r="925" spans="1:5" x14ac:dyDescent="0.25">
      <c r="A925" t="s">
        <v>5</v>
      </c>
      <c r="B925" t="s">
        <v>11</v>
      </c>
      <c r="C925">
        <v>107.22</v>
      </c>
      <c r="D925">
        <v>107.09969</v>
      </c>
      <c r="E925" s="1">
        <v>41852</v>
      </c>
    </row>
    <row r="926" spans="1:5" x14ac:dyDescent="0.25">
      <c r="A926" t="s">
        <v>5</v>
      </c>
      <c r="B926" t="s">
        <v>11</v>
      </c>
      <c r="C926">
        <v>105.02</v>
      </c>
      <c r="D926">
        <v>106.49545000000001</v>
      </c>
      <c r="E926" s="1">
        <v>41883</v>
      </c>
    </row>
    <row r="927" spans="1:5" x14ac:dyDescent="0.25">
      <c r="A927" t="s">
        <v>5</v>
      </c>
      <c r="B927" t="s">
        <v>11</v>
      </c>
      <c r="C927">
        <v>108.43</v>
      </c>
      <c r="D927">
        <v>111.32777</v>
      </c>
      <c r="E927" s="1">
        <v>41913</v>
      </c>
    </row>
    <row r="928" spans="1:5" x14ac:dyDescent="0.25">
      <c r="A928" t="s">
        <v>5</v>
      </c>
      <c r="B928" t="s">
        <v>11</v>
      </c>
      <c r="C928">
        <v>103.3</v>
      </c>
      <c r="D928">
        <v>100.96921</v>
      </c>
      <c r="E928" s="1">
        <v>41944</v>
      </c>
    </row>
    <row r="929" spans="1:5" x14ac:dyDescent="0.25">
      <c r="A929" t="s">
        <v>5</v>
      </c>
      <c r="B929" t="s">
        <v>11</v>
      </c>
      <c r="C929">
        <v>98.9</v>
      </c>
      <c r="D929">
        <v>110.44479</v>
      </c>
      <c r="E929" s="1">
        <v>41974</v>
      </c>
    </row>
    <row r="930" spans="1:5" x14ac:dyDescent="0.25">
      <c r="A930" t="s">
        <v>5</v>
      </c>
      <c r="B930" t="s">
        <v>11</v>
      </c>
      <c r="C930">
        <v>99.38</v>
      </c>
      <c r="D930">
        <v>95.612750000000005</v>
      </c>
      <c r="E930" s="1">
        <v>42005</v>
      </c>
    </row>
    <row r="931" spans="1:5" x14ac:dyDescent="0.25">
      <c r="A931" t="s">
        <v>5</v>
      </c>
      <c r="B931" t="s">
        <v>11</v>
      </c>
      <c r="C931">
        <v>98.4</v>
      </c>
      <c r="D931">
        <v>91.45823</v>
      </c>
      <c r="E931" s="1">
        <v>42036</v>
      </c>
    </row>
    <row r="932" spans="1:5" x14ac:dyDescent="0.25">
      <c r="A932" t="s">
        <v>5</v>
      </c>
      <c r="B932" t="s">
        <v>11</v>
      </c>
      <c r="C932">
        <v>97.22</v>
      </c>
      <c r="D932">
        <v>97.058310000000006</v>
      </c>
      <c r="E932" s="1">
        <v>42064</v>
      </c>
    </row>
    <row r="933" spans="1:5" x14ac:dyDescent="0.25">
      <c r="A933" t="s">
        <v>5</v>
      </c>
      <c r="B933" t="s">
        <v>11</v>
      </c>
      <c r="C933">
        <v>97</v>
      </c>
      <c r="D933">
        <v>96.884979999999999</v>
      </c>
      <c r="E933" s="1">
        <v>42095</v>
      </c>
    </row>
    <row r="934" spans="1:5" x14ac:dyDescent="0.25">
      <c r="A934" t="s">
        <v>5</v>
      </c>
      <c r="B934" t="s">
        <v>11</v>
      </c>
      <c r="C934">
        <v>97.16</v>
      </c>
      <c r="D934">
        <v>96.02758</v>
      </c>
      <c r="E934" s="1">
        <v>42125</v>
      </c>
    </row>
    <row r="935" spans="1:5" x14ac:dyDescent="0.25">
      <c r="A935" t="s">
        <v>5</v>
      </c>
      <c r="B935" t="s">
        <v>11</v>
      </c>
      <c r="C935">
        <v>95.8</v>
      </c>
      <c r="D935">
        <v>94.75421</v>
      </c>
      <c r="E935" s="1">
        <v>42156</v>
      </c>
    </row>
    <row r="936" spans="1:5" x14ac:dyDescent="0.25">
      <c r="A936" t="s">
        <v>5</v>
      </c>
      <c r="B936" t="s">
        <v>11</v>
      </c>
      <c r="C936">
        <v>94.86</v>
      </c>
      <c r="D936">
        <v>94.075410000000005</v>
      </c>
      <c r="E936" s="1">
        <v>42186</v>
      </c>
    </row>
    <row r="937" spans="1:5" x14ac:dyDescent="0.25">
      <c r="A937" t="s">
        <v>5</v>
      </c>
      <c r="B937" t="s">
        <v>11</v>
      </c>
      <c r="C937">
        <v>94.18</v>
      </c>
      <c r="D937">
        <v>93.651610000000005</v>
      </c>
      <c r="E937" s="1">
        <v>42217</v>
      </c>
    </row>
    <row r="938" spans="1:5" x14ac:dyDescent="0.25">
      <c r="A938" t="s">
        <v>5</v>
      </c>
      <c r="B938" t="s">
        <v>11</v>
      </c>
      <c r="C938">
        <v>94</v>
      </c>
      <c r="D938">
        <v>95.957920000000001</v>
      </c>
      <c r="E938" s="1">
        <v>42248</v>
      </c>
    </row>
    <row r="939" spans="1:5" x14ac:dyDescent="0.25">
      <c r="A939" t="s">
        <v>5</v>
      </c>
      <c r="B939" t="s">
        <v>11</v>
      </c>
      <c r="C939">
        <v>94.4</v>
      </c>
      <c r="D939">
        <v>95.960819999999998</v>
      </c>
      <c r="E939" s="1">
        <v>42278</v>
      </c>
    </row>
    <row r="940" spans="1:5" x14ac:dyDescent="0.25">
      <c r="A940" t="s">
        <v>5</v>
      </c>
      <c r="B940" t="s">
        <v>11</v>
      </c>
      <c r="C940">
        <v>94.1</v>
      </c>
      <c r="D940">
        <v>93.229190000000003</v>
      </c>
      <c r="E940" s="1">
        <v>42309</v>
      </c>
    </row>
    <row r="941" spans="1:5" x14ac:dyDescent="0.25">
      <c r="A941" t="s">
        <v>5</v>
      </c>
      <c r="B941" t="s">
        <v>11</v>
      </c>
      <c r="C941">
        <v>88.44</v>
      </c>
      <c r="D941">
        <v>99.104069999999993</v>
      </c>
      <c r="E941" s="1">
        <v>42339</v>
      </c>
    </row>
    <row r="942" spans="1:5" x14ac:dyDescent="0.25">
      <c r="A942" t="s">
        <v>5</v>
      </c>
      <c r="B942" t="s">
        <v>11</v>
      </c>
      <c r="C942">
        <v>92.26</v>
      </c>
      <c r="D942">
        <v>88.021780000000007</v>
      </c>
      <c r="E942" s="1">
        <v>42370</v>
      </c>
    </row>
    <row r="943" spans="1:5" x14ac:dyDescent="0.25">
      <c r="A943" t="s">
        <v>5</v>
      </c>
      <c r="B943" t="s">
        <v>11</v>
      </c>
      <c r="C943">
        <v>89.33</v>
      </c>
      <c r="D943">
        <v>85.904430000000005</v>
      </c>
      <c r="E943" s="1">
        <v>42401</v>
      </c>
    </row>
    <row r="944" spans="1:5" x14ac:dyDescent="0.25">
      <c r="A944" t="s">
        <v>5</v>
      </c>
      <c r="B944" t="s">
        <v>11</v>
      </c>
      <c r="C944">
        <v>99.32</v>
      </c>
      <c r="D944">
        <v>99.507549999999995</v>
      </c>
      <c r="E944" s="1">
        <v>42430</v>
      </c>
    </row>
    <row r="945" spans="1:5" x14ac:dyDescent="0.25">
      <c r="A945" t="s">
        <v>5</v>
      </c>
      <c r="B945" t="s">
        <v>11</v>
      </c>
      <c r="C945">
        <v>94.73</v>
      </c>
      <c r="D945">
        <v>93.688289999999995</v>
      </c>
      <c r="E945" s="1">
        <v>42461</v>
      </c>
    </row>
    <row r="946" spans="1:5" x14ac:dyDescent="0.25">
      <c r="A946" t="s">
        <v>5</v>
      </c>
      <c r="B946" t="s">
        <v>11</v>
      </c>
      <c r="C946">
        <v>92.52</v>
      </c>
      <c r="D946">
        <v>90.072190000000006</v>
      </c>
      <c r="E946" s="1">
        <v>42491</v>
      </c>
    </row>
    <row r="947" spans="1:5" x14ac:dyDescent="0.25">
      <c r="A947" t="s">
        <v>5</v>
      </c>
      <c r="B947" t="s">
        <v>11</v>
      </c>
      <c r="C947">
        <v>90.93</v>
      </c>
      <c r="D947">
        <v>92.718019999999996</v>
      </c>
      <c r="E947" s="1">
        <v>42522</v>
      </c>
    </row>
    <row r="948" spans="1:5" x14ac:dyDescent="0.25">
      <c r="A948" t="s">
        <v>5</v>
      </c>
      <c r="B948" t="s">
        <v>11</v>
      </c>
      <c r="C948">
        <v>95.99</v>
      </c>
      <c r="D948">
        <v>93.313739999999996</v>
      </c>
      <c r="E948" s="1">
        <v>42552</v>
      </c>
    </row>
    <row r="949" spans="1:5" x14ac:dyDescent="0.25">
      <c r="A949" t="s">
        <v>5</v>
      </c>
      <c r="B949" t="s">
        <v>11</v>
      </c>
      <c r="C949">
        <v>91.79</v>
      </c>
      <c r="D949">
        <v>93.355029999999999</v>
      </c>
      <c r="E949" s="1">
        <v>42583</v>
      </c>
    </row>
    <row r="950" spans="1:5" x14ac:dyDescent="0.25">
      <c r="A950" t="s">
        <v>5</v>
      </c>
      <c r="B950" t="s">
        <v>11</v>
      </c>
      <c r="C950">
        <v>90.42</v>
      </c>
      <c r="D950">
        <v>91.266480000000001</v>
      </c>
      <c r="E950" s="1">
        <v>42614</v>
      </c>
    </row>
    <row r="951" spans="1:5" x14ac:dyDescent="0.25">
      <c r="A951" t="s">
        <v>5</v>
      </c>
      <c r="B951" t="s">
        <v>11</v>
      </c>
      <c r="C951">
        <v>90.89</v>
      </c>
      <c r="D951">
        <v>91.650229999999993</v>
      </c>
      <c r="E951" s="1">
        <v>42644</v>
      </c>
    </row>
    <row r="952" spans="1:5" x14ac:dyDescent="0.25">
      <c r="A952" t="s">
        <v>5</v>
      </c>
      <c r="B952" t="s">
        <v>11</v>
      </c>
      <c r="C952">
        <v>92.08</v>
      </c>
      <c r="D952">
        <v>92.991209999999995</v>
      </c>
      <c r="E952" s="1">
        <v>42675</v>
      </c>
    </row>
    <row r="953" spans="1:5" x14ac:dyDescent="0.25">
      <c r="A953" t="s">
        <v>5</v>
      </c>
      <c r="B953" t="s">
        <v>11</v>
      </c>
      <c r="C953">
        <v>90.24</v>
      </c>
      <c r="D953">
        <v>99.724789999999999</v>
      </c>
      <c r="E953" s="1">
        <v>42705</v>
      </c>
    </row>
    <row r="954" spans="1:5" x14ac:dyDescent="0.25">
      <c r="A954" t="s">
        <v>5</v>
      </c>
      <c r="B954" t="s">
        <v>11</v>
      </c>
      <c r="C954">
        <v>85.84</v>
      </c>
      <c r="D954">
        <v>82.985439999999997</v>
      </c>
      <c r="E954" s="1">
        <v>42736</v>
      </c>
    </row>
    <row r="955" spans="1:5" x14ac:dyDescent="0.25">
      <c r="A955" t="s">
        <v>5</v>
      </c>
      <c r="B955" t="s">
        <v>11</v>
      </c>
      <c r="C955">
        <v>85.8</v>
      </c>
      <c r="D955">
        <v>79.558899999999994</v>
      </c>
      <c r="E955" s="1">
        <v>42767</v>
      </c>
    </row>
    <row r="956" spans="1:5" x14ac:dyDescent="0.25">
      <c r="A956" t="s">
        <v>5</v>
      </c>
      <c r="B956" t="s">
        <v>11</v>
      </c>
      <c r="C956">
        <v>83.98</v>
      </c>
      <c r="D956">
        <v>84.844309999999993</v>
      </c>
      <c r="E956" s="1">
        <v>42795</v>
      </c>
    </row>
    <row r="957" spans="1:5" x14ac:dyDescent="0.25">
      <c r="A957" t="s">
        <v>5</v>
      </c>
      <c r="B957" t="s">
        <v>11</v>
      </c>
      <c r="C957">
        <v>80.989999999999995</v>
      </c>
      <c r="D957">
        <v>78.158280000000005</v>
      </c>
      <c r="E957" s="1">
        <v>42826</v>
      </c>
    </row>
    <row r="958" spans="1:5" x14ac:dyDescent="0.25">
      <c r="A958" t="s">
        <v>5</v>
      </c>
      <c r="B958" t="s">
        <v>11</v>
      </c>
      <c r="C958">
        <v>83.68</v>
      </c>
      <c r="D958">
        <v>84.511970000000005</v>
      </c>
      <c r="E958" s="1">
        <v>42856</v>
      </c>
    </row>
    <row r="959" spans="1:5" x14ac:dyDescent="0.25">
      <c r="A959" t="s">
        <v>5</v>
      </c>
      <c r="B959" t="s">
        <v>11</v>
      </c>
      <c r="C959">
        <v>84.84</v>
      </c>
      <c r="D959">
        <v>84.254320000000007</v>
      </c>
      <c r="E959" s="1">
        <v>42887</v>
      </c>
    </row>
    <row r="960" spans="1:5" x14ac:dyDescent="0.25">
      <c r="A960" t="s">
        <v>5</v>
      </c>
      <c r="B960" t="s">
        <v>11</v>
      </c>
      <c r="C960">
        <v>84.77</v>
      </c>
      <c r="D960">
        <v>82.635249999999999</v>
      </c>
      <c r="E960" s="1">
        <v>42917</v>
      </c>
    </row>
    <row r="961" spans="1:5" x14ac:dyDescent="0.25">
      <c r="A961" t="s">
        <v>5</v>
      </c>
      <c r="B961" t="s">
        <v>11</v>
      </c>
      <c r="C961">
        <v>84.04</v>
      </c>
      <c r="D961">
        <v>85.282820000000001</v>
      </c>
      <c r="E961" s="1">
        <v>42948</v>
      </c>
    </row>
    <row r="962" spans="1:5" x14ac:dyDescent="0.25">
      <c r="A962" t="s">
        <v>5</v>
      </c>
      <c r="B962" t="s">
        <v>11</v>
      </c>
      <c r="C962">
        <v>86.04</v>
      </c>
      <c r="D962">
        <v>86.031790000000001</v>
      </c>
      <c r="E962" s="1">
        <v>42979</v>
      </c>
    </row>
    <row r="963" spans="1:5" x14ac:dyDescent="0.25">
      <c r="A963" t="s">
        <v>5</v>
      </c>
      <c r="B963" t="s">
        <v>11</v>
      </c>
      <c r="C963">
        <v>85.72</v>
      </c>
      <c r="D963">
        <v>87.064350000000005</v>
      </c>
      <c r="E963" s="1">
        <v>43009</v>
      </c>
    </row>
    <row r="964" spans="1:5" x14ac:dyDescent="0.25">
      <c r="A964" t="s">
        <v>5</v>
      </c>
      <c r="B964" t="s">
        <v>11</v>
      </c>
      <c r="C964">
        <v>83.37</v>
      </c>
      <c r="D964">
        <v>83.673450000000003</v>
      </c>
      <c r="E964" s="1">
        <v>43040</v>
      </c>
    </row>
    <row r="965" spans="1:5" x14ac:dyDescent="0.25">
      <c r="A965" t="s">
        <v>5</v>
      </c>
      <c r="B965" t="s">
        <v>11</v>
      </c>
      <c r="C965">
        <v>85.4</v>
      </c>
      <c r="D965">
        <v>94.21387</v>
      </c>
      <c r="E965" s="1">
        <v>43070</v>
      </c>
    </row>
    <row r="966" spans="1:5" x14ac:dyDescent="0.25">
      <c r="A966" t="s">
        <v>5</v>
      </c>
      <c r="B966" t="s">
        <v>11</v>
      </c>
      <c r="C966">
        <v>85.57</v>
      </c>
      <c r="D966">
        <v>84.324659999999994</v>
      </c>
      <c r="E966" s="1">
        <v>43101</v>
      </c>
    </row>
    <row r="967" spans="1:5" x14ac:dyDescent="0.25">
      <c r="A967" t="s">
        <v>5</v>
      </c>
      <c r="B967" t="s">
        <v>11</v>
      </c>
      <c r="C967">
        <v>87.36</v>
      </c>
      <c r="D967">
        <v>80.883769999999998</v>
      </c>
      <c r="E967" s="1">
        <v>43132</v>
      </c>
    </row>
    <row r="968" spans="1:5" x14ac:dyDescent="0.25">
      <c r="A968" t="s">
        <v>5</v>
      </c>
      <c r="B968" t="s">
        <v>11</v>
      </c>
      <c r="C968">
        <v>87.98</v>
      </c>
      <c r="D968">
        <v>86.733750000000001</v>
      </c>
      <c r="E968" s="1">
        <v>43160</v>
      </c>
    </row>
    <row r="969" spans="1:5" x14ac:dyDescent="0.25">
      <c r="A969" t="s">
        <v>5</v>
      </c>
      <c r="B969" t="s">
        <v>11</v>
      </c>
      <c r="C969">
        <v>87.57</v>
      </c>
      <c r="D969">
        <v>85.372370000000004</v>
      </c>
      <c r="E969" s="1">
        <v>43191</v>
      </c>
    </row>
    <row r="970" spans="1:5" x14ac:dyDescent="0.25">
      <c r="A970" t="s">
        <v>5</v>
      </c>
      <c r="B970" t="s">
        <v>11</v>
      </c>
      <c r="C970">
        <v>82.32</v>
      </c>
      <c r="D970">
        <v>83.115409999999997</v>
      </c>
      <c r="E970" s="1">
        <v>43221</v>
      </c>
    </row>
    <row r="971" spans="1:5" x14ac:dyDescent="0.25">
      <c r="A971" t="s">
        <v>5</v>
      </c>
      <c r="B971" t="s">
        <v>11</v>
      </c>
      <c r="C971">
        <v>87.97</v>
      </c>
      <c r="D971">
        <v>87.045969999999997</v>
      </c>
      <c r="E971" s="1">
        <v>43252</v>
      </c>
    </row>
    <row r="972" spans="1:5" x14ac:dyDescent="0.25">
      <c r="A972" t="s">
        <v>5</v>
      </c>
      <c r="B972" t="s">
        <v>11</v>
      </c>
      <c r="C972">
        <v>84.07</v>
      </c>
      <c r="D972">
        <v>83.467870000000005</v>
      </c>
      <c r="E972" s="1">
        <v>43282</v>
      </c>
    </row>
    <row r="973" spans="1:5" x14ac:dyDescent="0.25">
      <c r="A973" t="s">
        <v>5</v>
      </c>
      <c r="B973" t="s">
        <v>11</v>
      </c>
      <c r="C973">
        <v>85.36</v>
      </c>
      <c r="D973">
        <v>86.348519999999994</v>
      </c>
      <c r="E973" s="1">
        <v>43313</v>
      </c>
    </row>
    <row r="974" spans="1:5" x14ac:dyDescent="0.25">
      <c r="A974" t="s">
        <v>5</v>
      </c>
      <c r="B974" t="s">
        <v>11</v>
      </c>
      <c r="C974">
        <v>83.18</v>
      </c>
      <c r="D974">
        <v>82.49006</v>
      </c>
      <c r="E974" s="1">
        <v>43344</v>
      </c>
    </row>
    <row r="975" spans="1:5" x14ac:dyDescent="0.25">
      <c r="A975" t="s">
        <v>5</v>
      </c>
      <c r="B975" t="s">
        <v>11</v>
      </c>
      <c r="C975">
        <v>87.26</v>
      </c>
      <c r="D975">
        <v>89.261719999999997</v>
      </c>
      <c r="E975" s="1">
        <v>43374</v>
      </c>
    </row>
    <row r="976" spans="1:5" x14ac:dyDescent="0.25">
      <c r="A976" t="s">
        <v>5</v>
      </c>
      <c r="B976" t="s">
        <v>11</v>
      </c>
      <c r="C976">
        <v>87.65</v>
      </c>
      <c r="D976">
        <v>86.857709999999997</v>
      </c>
      <c r="E976" s="1">
        <v>43405</v>
      </c>
    </row>
    <row r="977" spans="1:5" x14ac:dyDescent="0.25">
      <c r="A977" t="s">
        <v>5</v>
      </c>
      <c r="B977" t="s">
        <v>11</v>
      </c>
      <c r="C977">
        <v>87.24</v>
      </c>
      <c r="D977">
        <v>96.487870000000001</v>
      </c>
      <c r="E977" s="1">
        <v>43435</v>
      </c>
    </row>
    <row r="978" spans="1:5" x14ac:dyDescent="0.25">
      <c r="A978" t="s">
        <v>5</v>
      </c>
      <c r="B978" t="s">
        <v>11</v>
      </c>
      <c r="C978">
        <v>89.82</v>
      </c>
      <c r="D978">
        <v>89.125680000000003</v>
      </c>
      <c r="E978" s="1">
        <v>43466</v>
      </c>
    </row>
    <row r="979" spans="1:5" x14ac:dyDescent="0.25">
      <c r="A979" t="s">
        <v>5</v>
      </c>
      <c r="B979" t="s">
        <v>11</v>
      </c>
      <c r="C979">
        <v>88.56</v>
      </c>
      <c r="D979">
        <v>85.316680000000005</v>
      </c>
      <c r="E979" s="1">
        <v>43497</v>
      </c>
    </row>
    <row r="980" spans="1:5" x14ac:dyDescent="0.25">
      <c r="A980" t="s">
        <v>5</v>
      </c>
      <c r="B980" t="s">
        <v>11</v>
      </c>
      <c r="C980">
        <v>90.38</v>
      </c>
      <c r="D980">
        <v>85.676050000000004</v>
      </c>
      <c r="E980" s="1">
        <v>43525</v>
      </c>
    </row>
    <row r="981" spans="1:5" x14ac:dyDescent="0.25">
      <c r="A981" t="s">
        <v>5</v>
      </c>
      <c r="B981" t="s">
        <v>11</v>
      </c>
      <c r="C981">
        <v>88.79</v>
      </c>
      <c r="D981">
        <v>86.233729999999994</v>
      </c>
      <c r="E981" s="1">
        <v>43556</v>
      </c>
    </row>
    <row r="982" spans="1:5" x14ac:dyDescent="0.25">
      <c r="A982" t="s">
        <v>5</v>
      </c>
      <c r="B982" t="s">
        <v>11</v>
      </c>
      <c r="C982">
        <v>90.06</v>
      </c>
      <c r="D982">
        <v>90.638170000000002</v>
      </c>
      <c r="E982" s="1">
        <v>43586</v>
      </c>
    </row>
    <row r="983" spans="1:5" x14ac:dyDescent="0.25">
      <c r="A983" t="s">
        <v>5</v>
      </c>
      <c r="B983" t="s">
        <v>11</v>
      </c>
      <c r="C983">
        <v>89.09</v>
      </c>
      <c r="D983">
        <v>87.786540000000002</v>
      </c>
      <c r="E983" s="1">
        <v>43617</v>
      </c>
    </row>
    <row r="984" spans="1:5" x14ac:dyDescent="0.25">
      <c r="A984" t="s">
        <v>5</v>
      </c>
      <c r="B984" t="s">
        <v>11</v>
      </c>
      <c r="C984">
        <v>91.02</v>
      </c>
      <c r="D984">
        <v>92.123639999999995</v>
      </c>
      <c r="E984" s="1">
        <v>43647</v>
      </c>
    </row>
    <row r="985" spans="1:5" x14ac:dyDescent="0.25">
      <c r="A985" t="s">
        <v>5</v>
      </c>
      <c r="B985" t="s">
        <v>11</v>
      </c>
      <c r="C985">
        <v>91.28</v>
      </c>
      <c r="D985">
        <v>91.267160000000004</v>
      </c>
      <c r="E985" s="1">
        <v>43678</v>
      </c>
    </row>
    <row r="986" spans="1:5" x14ac:dyDescent="0.25">
      <c r="A986" t="s">
        <v>5</v>
      </c>
      <c r="B986" t="s">
        <v>11</v>
      </c>
      <c r="C986">
        <v>91.66</v>
      </c>
      <c r="D986">
        <v>91.594740000000002</v>
      </c>
      <c r="E986" s="1">
        <v>43709</v>
      </c>
    </row>
    <row r="987" spans="1:5" x14ac:dyDescent="0.25">
      <c r="A987" t="s">
        <v>5</v>
      </c>
      <c r="B987" t="s">
        <v>11</v>
      </c>
      <c r="C987">
        <v>91.5</v>
      </c>
      <c r="D987">
        <v>93.045389999999998</v>
      </c>
      <c r="E987" s="1">
        <v>43739</v>
      </c>
    </row>
    <row r="988" spans="1:5" x14ac:dyDescent="0.25">
      <c r="A988" t="s">
        <v>5</v>
      </c>
      <c r="B988" t="s">
        <v>11</v>
      </c>
      <c r="C988">
        <v>94.83</v>
      </c>
      <c r="D988">
        <v>92.608220000000003</v>
      </c>
      <c r="E988" s="1">
        <v>43770</v>
      </c>
    </row>
    <row r="989" spans="1:5" x14ac:dyDescent="0.25">
      <c r="A989" t="s">
        <v>5</v>
      </c>
      <c r="B989" t="s">
        <v>11</v>
      </c>
      <c r="C989">
        <v>96.02</v>
      </c>
      <c r="D989">
        <v>107.55343000000001</v>
      </c>
      <c r="E989" s="1">
        <v>43800</v>
      </c>
    </row>
    <row r="990" spans="1:5" x14ac:dyDescent="0.25">
      <c r="A990" t="s">
        <v>5</v>
      </c>
      <c r="B990" t="s">
        <v>11</v>
      </c>
      <c r="C990">
        <v>98.29</v>
      </c>
      <c r="D990">
        <v>97.78922</v>
      </c>
      <c r="E990" s="1">
        <v>43831</v>
      </c>
    </row>
    <row r="991" spans="1:5" x14ac:dyDescent="0.25">
      <c r="A991" t="s">
        <v>5</v>
      </c>
      <c r="B991" t="s">
        <v>11</v>
      </c>
      <c r="C991">
        <v>98.32</v>
      </c>
      <c r="D991">
        <v>93.215249999999997</v>
      </c>
      <c r="E991" s="1">
        <v>43862</v>
      </c>
    </row>
    <row r="992" spans="1:5" x14ac:dyDescent="0.25">
      <c r="A992" t="s">
        <v>5</v>
      </c>
      <c r="B992" t="s">
        <v>11</v>
      </c>
      <c r="C992">
        <v>97.89</v>
      </c>
      <c r="D992">
        <v>97.671930000000003</v>
      </c>
      <c r="E992" s="1">
        <v>43891</v>
      </c>
    </row>
    <row r="993" spans="1:5" x14ac:dyDescent="0.25">
      <c r="A993" t="s">
        <v>5</v>
      </c>
      <c r="B993" t="s">
        <v>11</v>
      </c>
      <c r="C993">
        <v>89.61</v>
      </c>
      <c r="D993">
        <v>86.897989999999993</v>
      </c>
      <c r="E993" s="1">
        <v>43922</v>
      </c>
    </row>
    <row r="994" spans="1:5" x14ac:dyDescent="0.25">
      <c r="A994" t="s">
        <v>5</v>
      </c>
      <c r="B994" t="s">
        <v>11</v>
      </c>
      <c r="C994">
        <v>85.22</v>
      </c>
      <c r="D994">
        <v>84.021209999999996</v>
      </c>
      <c r="E994" s="1">
        <v>43952</v>
      </c>
    </row>
    <row r="995" spans="1:5" x14ac:dyDescent="0.25">
      <c r="A995" t="s">
        <v>5</v>
      </c>
      <c r="B995" t="s">
        <v>11</v>
      </c>
      <c r="C995">
        <v>90.78</v>
      </c>
      <c r="D995">
        <v>91.410989999999998</v>
      </c>
      <c r="E995" s="1">
        <v>43983</v>
      </c>
    </row>
    <row r="996" spans="1:5" x14ac:dyDescent="0.25">
      <c r="A996" t="s">
        <v>5</v>
      </c>
      <c r="B996" t="s">
        <v>11</v>
      </c>
      <c r="C996">
        <v>94.74</v>
      </c>
      <c r="D996">
        <v>96.293319999999994</v>
      </c>
      <c r="E996" s="1">
        <v>44013</v>
      </c>
    </row>
    <row r="997" spans="1:5" x14ac:dyDescent="0.25">
      <c r="A997" t="s">
        <v>5</v>
      </c>
      <c r="B997" t="s">
        <v>11</v>
      </c>
      <c r="C997">
        <v>98.15</v>
      </c>
      <c r="D997">
        <v>97.722499999999997</v>
      </c>
      <c r="E997" s="1">
        <v>44044</v>
      </c>
    </row>
    <row r="998" spans="1:5" x14ac:dyDescent="0.25">
      <c r="A998" t="s">
        <v>5</v>
      </c>
      <c r="B998" t="s">
        <v>11</v>
      </c>
      <c r="C998">
        <v>102.08</v>
      </c>
      <c r="D998">
        <v>103.673</v>
      </c>
      <c r="E998" s="1">
        <v>44075</v>
      </c>
    </row>
    <row r="999" spans="1:5" x14ac:dyDescent="0.25">
      <c r="A999" t="s">
        <v>5</v>
      </c>
      <c r="B999" t="s">
        <v>11</v>
      </c>
      <c r="C999">
        <v>101.7</v>
      </c>
      <c r="D999">
        <v>101.00821999999999</v>
      </c>
      <c r="E999" s="1">
        <v>44105</v>
      </c>
    </row>
    <row r="1000" spans="1:5" x14ac:dyDescent="0.25">
      <c r="A1000" t="s">
        <v>5</v>
      </c>
      <c r="B1000" t="s">
        <v>11</v>
      </c>
      <c r="C1000">
        <v>102.22</v>
      </c>
      <c r="D1000">
        <v>99.344080000000005</v>
      </c>
      <c r="E1000" s="1">
        <v>44136</v>
      </c>
    </row>
    <row r="1001" spans="1:5" x14ac:dyDescent="0.25">
      <c r="A1001" t="s">
        <v>5</v>
      </c>
      <c r="B1001" t="s">
        <v>11</v>
      </c>
      <c r="C1001">
        <v>103.83</v>
      </c>
      <c r="D1001">
        <v>117.91981</v>
      </c>
      <c r="E1001" s="1">
        <v>44166</v>
      </c>
    </row>
    <row r="1002" spans="1:5" x14ac:dyDescent="0.25">
      <c r="A1002" t="s">
        <v>5</v>
      </c>
      <c r="B1002" t="s">
        <v>11</v>
      </c>
      <c r="C1002">
        <v>97.29</v>
      </c>
      <c r="D1002">
        <v>94.915999999999997</v>
      </c>
      <c r="E1002" s="1">
        <v>44197</v>
      </c>
    </row>
    <row r="1003" spans="1:5" x14ac:dyDescent="0.25">
      <c r="A1003" t="s">
        <v>5</v>
      </c>
      <c r="B1003" t="s">
        <v>11</v>
      </c>
      <c r="C1003">
        <v>102.42</v>
      </c>
      <c r="D1003">
        <v>94.352519999999998</v>
      </c>
      <c r="E1003" s="1">
        <v>44228</v>
      </c>
    </row>
    <row r="1004" spans="1:5" x14ac:dyDescent="0.25">
      <c r="A1004" t="s">
        <v>5</v>
      </c>
      <c r="B1004" t="s">
        <v>11</v>
      </c>
      <c r="C1004">
        <v>102.99</v>
      </c>
      <c r="D1004">
        <v>104.15873999999999</v>
      </c>
      <c r="E1004" s="1">
        <v>44256</v>
      </c>
    </row>
    <row r="1005" spans="1:5" x14ac:dyDescent="0.25">
      <c r="A1005" t="s">
        <v>5</v>
      </c>
      <c r="B1005" t="s">
        <v>11</v>
      </c>
      <c r="C1005">
        <v>105.62</v>
      </c>
      <c r="D1005">
        <v>101.70747</v>
      </c>
      <c r="E1005" s="1">
        <v>44287</v>
      </c>
    </row>
    <row r="1006" spans="1:5" x14ac:dyDescent="0.25">
      <c r="A1006" t="s">
        <v>5</v>
      </c>
      <c r="B1006" t="s">
        <v>11</v>
      </c>
      <c r="C1006">
        <v>104.19</v>
      </c>
      <c r="D1006">
        <v>102.65295999999999</v>
      </c>
      <c r="E1006" s="1">
        <v>44317</v>
      </c>
    </row>
    <row r="1007" spans="1:5" x14ac:dyDescent="0.25">
      <c r="A1007" t="s">
        <v>5</v>
      </c>
      <c r="B1007" t="s">
        <v>11</v>
      </c>
      <c r="C1007">
        <v>103.94</v>
      </c>
      <c r="D1007">
        <v>105.57362999999999</v>
      </c>
      <c r="E1007" s="1">
        <v>44348</v>
      </c>
    </row>
    <row r="1008" spans="1:5" x14ac:dyDescent="0.25">
      <c r="A1008" t="s">
        <v>5</v>
      </c>
      <c r="B1008" t="s">
        <v>11</v>
      </c>
      <c r="C1008">
        <v>106.39</v>
      </c>
      <c r="D1008">
        <v>106.98779</v>
      </c>
      <c r="E1008" s="1">
        <v>44378</v>
      </c>
    </row>
    <row r="1009" spans="1:5" x14ac:dyDescent="0.25">
      <c r="A1009" t="s">
        <v>5</v>
      </c>
      <c r="B1009" t="s">
        <v>11</v>
      </c>
      <c r="C1009">
        <v>107.7</v>
      </c>
      <c r="D1009">
        <v>109.08916000000001</v>
      </c>
      <c r="E1009" s="1">
        <v>44409</v>
      </c>
    </row>
    <row r="1010" spans="1:5" x14ac:dyDescent="0.25">
      <c r="A1010" t="s">
        <v>5</v>
      </c>
      <c r="B1010" t="s">
        <v>11</v>
      </c>
      <c r="C1010">
        <v>101.17</v>
      </c>
      <c r="D1010">
        <v>102.05922</v>
      </c>
      <c r="E1010" s="1">
        <v>44440</v>
      </c>
    </row>
    <row r="1011" spans="1:5" x14ac:dyDescent="0.25">
      <c r="A1011" t="s">
        <v>5</v>
      </c>
      <c r="B1011" t="s">
        <v>11</v>
      </c>
      <c r="C1011">
        <v>96.55</v>
      </c>
      <c r="D1011">
        <v>94.795330000000007</v>
      </c>
      <c r="E1011" s="1">
        <v>44470</v>
      </c>
    </row>
    <row r="1012" spans="1:5" x14ac:dyDescent="0.25">
      <c r="A1012" t="s">
        <v>5</v>
      </c>
      <c r="B1012" t="s">
        <v>11</v>
      </c>
      <c r="C1012">
        <v>98.09</v>
      </c>
      <c r="D1012">
        <v>96.37133</v>
      </c>
      <c r="E1012" s="1">
        <v>44501</v>
      </c>
    </row>
    <row r="1013" spans="1:5" x14ac:dyDescent="0.25">
      <c r="A1013" t="s">
        <v>5</v>
      </c>
      <c r="B1013" t="s">
        <v>11</v>
      </c>
      <c r="C1013">
        <v>99.44</v>
      </c>
      <c r="D1013">
        <v>112.52616</v>
      </c>
      <c r="E1013" s="1">
        <v>44531</v>
      </c>
    </row>
    <row r="1014" spans="1:5" x14ac:dyDescent="0.25">
      <c r="A1014" t="s">
        <v>5</v>
      </c>
      <c r="B1014" t="s">
        <v>11</v>
      </c>
      <c r="C1014">
        <v>98.99</v>
      </c>
      <c r="D1014">
        <v>96.16328</v>
      </c>
      <c r="E1014" s="1">
        <v>44562</v>
      </c>
    </row>
    <row r="1015" spans="1:5" x14ac:dyDescent="0.25">
      <c r="A1015" t="s">
        <v>5</v>
      </c>
      <c r="B1015" t="s">
        <v>11</v>
      </c>
      <c r="C1015">
        <v>98.43</v>
      </c>
      <c r="D1015">
        <v>90.716880000000003</v>
      </c>
      <c r="E1015" s="1">
        <v>44593</v>
      </c>
    </row>
    <row r="1016" spans="1:5" x14ac:dyDescent="0.25">
      <c r="A1016" t="s">
        <v>5</v>
      </c>
      <c r="B1016" t="s">
        <v>11</v>
      </c>
      <c r="C1016">
        <v>98.28</v>
      </c>
      <c r="D1016">
        <v>99.529690000000002</v>
      </c>
      <c r="E1016" s="1">
        <v>44621</v>
      </c>
    </row>
    <row r="1017" spans="1:5" x14ac:dyDescent="0.25">
      <c r="A1017" t="s">
        <v>5</v>
      </c>
      <c r="B1017" t="s">
        <v>11</v>
      </c>
      <c r="C1017">
        <v>96.76</v>
      </c>
      <c r="D1017">
        <v>92.319749999999999</v>
      </c>
      <c r="E1017" s="1">
        <v>44652</v>
      </c>
    </row>
    <row r="1018" spans="1:5" x14ac:dyDescent="0.25">
      <c r="A1018" t="s">
        <v>5</v>
      </c>
      <c r="B1018" t="s">
        <v>11</v>
      </c>
      <c r="C1018">
        <v>98.8</v>
      </c>
      <c r="D1018">
        <v>98.671080000000003</v>
      </c>
      <c r="E1018" s="1">
        <v>44682</v>
      </c>
    </row>
    <row r="1019" spans="1:5" x14ac:dyDescent="0.25">
      <c r="A1019" t="s">
        <v>5</v>
      </c>
      <c r="B1019" t="s">
        <v>11</v>
      </c>
      <c r="C1019">
        <v>99.45</v>
      </c>
      <c r="D1019">
        <v>100.67619999999999</v>
      </c>
      <c r="E1019" s="1">
        <v>44713</v>
      </c>
    </row>
    <row r="1020" spans="1:5" x14ac:dyDescent="0.25">
      <c r="A1020" t="s">
        <v>5</v>
      </c>
      <c r="B1020" t="s">
        <v>11</v>
      </c>
      <c r="C1020">
        <v>94.02</v>
      </c>
      <c r="D1020">
        <v>94.086650000000006</v>
      </c>
      <c r="E1020" s="1">
        <v>44743</v>
      </c>
    </row>
    <row r="1021" spans="1:5" x14ac:dyDescent="0.25">
      <c r="A1021" t="s">
        <v>5</v>
      </c>
      <c r="B1021" t="s">
        <v>11</v>
      </c>
      <c r="C1021">
        <v>103.31</v>
      </c>
      <c r="D1021">
        <v>106.58335</v>
      </c>
      <c r="E1021" s="1">
        <v>44774</v>
      </c>
    </row>
    <row r="1022" spans="1:5" x14ac:dyDescent="0.25">
      <c r="A1022" t="s">
        <v>5</v>
      </c>
      <c r="B1022" t="s">
        <v>11</v>
      </c>
      <c r="C1022">
        <v>99.85</v>
      </c>
      <c r="D1022">
        <v>99.823139999999995</v>
      </c>
      <c r="E1022" s="1">
        <v>44805</v>
      </c>
    </row>
    <row r="1023" spans="1:5" x14ac:dyDescent="0.25">
      <c r="A1023" t="s">
        <v>5</v>
      </c>
      <c r="B1023" t="s">
        <v>11</v>
      </c>
      <c r="C1023">
        <v>103.17</v>
      </c>
      <c r="D1023">
        <v>100.88488</v>
      </c>
      <c r="E1023" s="1">
        <v>44835</v>
      </c>
    </row>
    <row r="1024" spans="1:5" x14ac:dyDescent="0.25">
      <c r="A1024" t="s">
        <v>5</v>
      </c>
      <c r="B1024" t="s">
        <v>11</v>
      </c>
      <c r="C1024">
        <v>97.56</v>
      </c>
      <c r="D1024">
        <v>96.647999999999996</v>
      </c>
      <c r="E1024" s="1">
        <v>44866</v>
      </c>
    </row>
    <row r="1025" spans="1:5" x14ac:dyDescent="0.25">
      <c r="A1025" t="s">
        <v>5</v>
      </c>
      <c r="B1025" t="s">
        <v>11</v>
      </c>
      <c r="C1025">
        <v>111.34</v>
      </c>
      <c r="D1025">
        <v>123.89708</v>
      </c>
      <c r="E1025" s="1">
        <v>44896</v>
      </c>
    </row>
    <row r="1026" spans="1:5" x14ac:dyDescent="0.25">
      <c r="A1026" t="s">
        <v>5</v>
      </c>
      <c r="B1026" t="s">
        <v>11</v>
      </c>
      <c r="C1026">
        <v>98.75</v>
      </c>
      <c r="D1026">
        <v>96.669920000000005</v>
      </c>
      <c r="E1026" s="1">
        <v>44927</v>
      </c>
    </row>
    <row r="1027" spans="1:5" x14ac:dyDescent="0.25">
      <c r="A1027" t="s">
        <v>5</v>
      </c>
      <c r="B1027" t="s">
        <v>11</v>
      </c>
      <c r="C1027">
        <v>98.79</v>
      </c>
      <c r="D1027">
        <v>91.259349999999998</v>
      </c>
      <c r="E1027" s="1">
        <v>44958</v>
      </c>
    </row>
    <row r="1028" spans="1:5" x14ac:dyDescent="0.25">
      <c r="A1028" t="s">
        <v>5</v>
      </c>
      <c r="B1028" t="s">
        <v>11</v>
      </c>
      <c r="C1028">
        <v>98.86</v>
      </c>
      <c r="D1028">
        <v>100.10772</v>
      </c>
      <c r="E1028" s="1">
        <v>44986</v>
      </c>
    </row>
    <row r="1029" spans="1:5" x14ac:dyDescent="0.25">
      <c r="A1029" t="s">
        <v>5</v>
      </c>
      <c r="B1029" t="s">
        <v>11</v>
      </c>
      <c r="C1029">
        <v>96.94</v>
      </c>
      <c r="D1029">
        <v>91.734459999999999</v>
      </c>
      <c r="E1029" s="1">
        <v>45017</v>
      </c>
    </row>
    <row r="1030" spans="1:5" x14ac:dyDescent="0.25">
      <c r="A1030" t="s">
        <v>5</v>
      </c>
      <c r="B1030" t="s">
        <v>11</v>
      </c>
      <c r="C1030">
        <v>97.92</v>
      </c>
      <c r="D1030">
        <v>99.343490000000003</v>
      </c>
      <c r="E1030" s="1">
        <v>45047</v>
      </c>
    </row>
    <row r="1031" spans="1:5" x14ac:dyDescent="0.25">
      <c r="A1031" t="s">
        <v>5</v>
      </c>
      <c r="B1031" t="s">
        <v>11</v>
      </c>
      <c r="C1031">
        <v>98.47</v>
      </c>
      <c r="D1031">
        <v>99.170820000000006</v>
      </c>
      <c r="E1031" s="1">
        <v>45078</v>
      </c>
    </row>
    <row r="1032" spans="1:5" x14ac:dyDescent="0.25">
      <c r="A1032" t="s">
        <v>5</v>
      </c>
      <c r="B1032" t="s">
        <v>11</v>
      </c>
      <c r="C1032">
        <v>98.44</v>
      </c>
      <c r="D1032">
        <v>98.075209999999998</v>
      </c>
      <c r="E1032" s="1">
        <v>45108</v>
      </c>
    </row>
    <row r="1033" spans="1:5" x14ac:dyDescent="0.25">
      <c r="A1033" t="s">
        <v>5</v>
      </c>
      <c r="B1033" t="s">
        <v>11</v>
      </c>
      <c r="C1033">
        <v>96.73</v>
      </c>
      <c r="D1033">
        <v>100.15935</v>
      </c>
      <c r="E1033" s="1">
        <v>45139</v>
      </c>
    </row>
    <row r="1034" spans="1:5" x14ac:dyDescent="0.25">
      <c r="A1034" t="s">
        <v>5</v>
      </c>
      <c r="B1034" t="s">
        <v>11</v>
      </c>
      <c r="C1034">
        <v>96.25</v>
      </c>
      <c r="D1034">
        <v>95.206699999999998</v>
      </c>
      <c r="E1034" s="1">
        <v>45170</v>
      </c>
    </row>
    <row r="1035" spans="1:5" x14ac:dyDescent="0.25">
      <c r="A1035" t="s">
        <v>5</v>
      </c>
      <c r="B1035" t="s">
        <v>11</v>
      </c>
      <c r="C1035">
        <v>97.95</v>
      </c>
      <c r="D1035">
        <v>96.853200000000001</v>
      </c>
      <c r="E1035" s="1">
        <v>45200</v>
      </c>
    </row>
    <row r="1036" spans="1:5" x14ac:dyDescent="0.25">
      <c r="A1036" t="s">
        <v>5</v>
      </c>
      <c r="B1036" t="s">
        <v>11</v>
      </c>
      <c r="C1036">
        <v>100.94</v>
      </c>
      <c r="D1036">
        <v>99.849559999999997</v>
      </c>
      <c r="E1036" s="1">
        <v>45231</v>
      </c>
    </row>
    <row r="1037" spans="1:5" x14ac:dyDescent="0.25">
      <c r="A1037" t="s">
        <v>5</v>
      </c>
      <c r="B1037" t="s">
        <v>11</v>
      </c>
      <c r="C1037">
        <v>100.3</v>
      </c>
      <c r="D1037">
        <v>110.48882</v>
      </c>
      <c r="E1037" s="1">
        <v>45261</v>
      </c>
    </row>
    <row r="1038" spans="1:5" x14ac:dyDescent="0.25">
      <c r="A1038" t="s">
        <v>5</v>
      </c>
      <c r="B1038" t="s">
        <v>11</v>
      </c>
      <c r="C1038">
        <v>99.42</v>
      </c>
      <c r="D1038">
        <v>98.326719999999995</v>
      </c>
      <c r="E1038" s="1">
        <v>45292</v>
      </c>
    </row>
    <row r="1039" spans="1:5" x14ac:dyDescent="0.25">
      <c r="A1039" t="s">
        <v>5</v>
      </c>
      <c r="B1039" t="s">
        <v>11</v>
      </c>
      <c r="C1039">
        <v>98.54</v>
      </c>
      <c r="D1039">
        <v>94.600719999999995</v>
      </c>
      <c r="E1039" s="1">
        <v>45323</v>
      </c>
    </row>
    <row r="1040" spans="1:5" x14ac:dyDescent="0.25">
      <c r="A1040" t="s">
        <v>5</v>
      </c>
      <c r="B1040" t="s">
        <v>11</v>
      </c>
      <c r="C1040">
        <v>99.15</v>
      </c>
      <c r="D1040">
        <v>97.669409999999999</v>
      </c>
      <c r="E1040" s="1">
        <v>45352</v>
      </c>
    </row>
    <row r="1041" spans="1:5" x14ac:dyDescent="0.25">
      <c r="A1041" t="s">
        <v>5</v>
      </c>
      <c r="B1041" t="s">
        <v>11</v>
      </c>
      <c r="C1041">
        <v>101.49</v>
      </c>
      <c r="D1041">
        <v>98.792919999999995</v>
      </c>
      <c r="E1041" s="1">
        <v>45383</v>
      </c>
    </row>
    <row r="1042" spans="1:5" x14ac:dyDescent="0.25">
      <c r="A1042" t="s">
        <v>5</v>
      </c>
      <c r="B1042" t="s">
        <v>11</v>
      </c>
      <c r="C1042">
        <v>98.96</v>
      </c>
      <c r="D1042">
        <v>99.549260000000004</v>
      </c>
      <c r="E1042" s="1">
        <v>45413</v>
      </c>
    </row>
    <row r="1043" spans="1:5" x14ac:dyDescent="0.25">
      <c r="A1043" t="s">
        <v>5</v>
      </c>
      <c r="B1043" t="s">
        <v>11</v>
      </c>
      <c r="C1043">
        <v>98.42</v>
      </c>
      <c r="D1043">
        <v>98.248459999999994</v>
      </c>
      <c r="E1043" s="1">
        <v>45444</v>
      </c>
    </row>
    <row r="1044" spans="1:5" x14ac:dyDescent="0.25">
      <c r="A1044" t="s">
        <v>5</v>
      </c>
      <c r="B1044" t="s">
        <v>11</v>
      </c>
      <c r="C1044">
        <v>98.14</v>
      </c>
      <c r="D1044">
        <v>99.983459999999994</v>
      </c>
      <c r="E1044" s="1">
        <v>45474</v>
      </c>
    </row>
    <row r="1045" spans="1:5" x14ac:dyDescent="0.25">
      <c r="A1045" t="s">
        <v>5</v>
      </c>
      <c r="B1045" t="s">
        <v>11</v>
      </c>
      <c r="C1045">
        <v>99.86</v>
      </c>
      <c r="D1045">
        <v>101.78443</v>
      </c>
      <c r="E1045" s="1">
        <v>45505</v>
      </c>
    </row>
    <row r="1046" spans="1:5" x14ac:dyDescent="0.25">
      <c r="A1046" t="s">
        <v>5</v>
      </c>
      <c r="B1046" t="s">
        <v>11</v>
      </c>
      <c r="C1046">
        <v>98.07</v>
      </c>
      <c r="D1046">
        <v>96.679599999999994</v>
      </c>
      <c r="E1046" s="1">
        <v>45536</v>
      </c>
    </row>
    <row r="1047" spans="1:5" x14ac:dyDescent="0.25">
      <c r="A1047" t="s">
        <v>5</v>
      </c>
      <c r="B1047" t="s">
        <v>11</v>
      </c>
      <c r="C1047">
        <v>97.04</v>
      </c>
      <c r="D1047">
        <v>97.252449999999996</v>
      </c>
      <c r="E1047" s="1">
        <v>45566</v>
      </c>
    </row>
    <row r="1048" spans="1:5" x14ac:dyDescent="0.25">
      <c r="A1048" t="s">
        <v>5</v>
      </c>
      <c r="B1048" t="s">
        <v>11</v>
      </c>
      <c r="C1048">
        <v>98.46</v>
      </c>
      <c r="D1048">
        <v>96.434719999999999</v>
      </c>
      <c r="E1048" s="1">
        <v>45597</v>
      </c>
    </row>
    <row r="1049" spans="1:5" x14ac:dyDescent="0.25">
      <c r="A1049" t="s">
        <v>5</v>
      </c>
      <c r="B1049" t="s">
        <v>11</v>
      </c>
      <c r="C1049">
        <v>93.8</v>
      </c>
      <c r="D1049">
        <v>104.20371</v>
      </c>
      <c r="E1049" s="1">
        <v>45627</v>
      </c>
    </row>
    <row r="1050" spans="1:5" x14ac:dyDescent="0.25">
      <c r="A1050" t="s">
        <v>5</v>
      </c>
      <c r="B1050" t="s">
        <v>11</v>
      </c>
      <c r="C1050">
        <v>96.76</v>
      </c>
      <c r="D1050">
        <v>95.29965</v>
      </c>
      <c r="E1050" s="1">
        <v>45658</v>
      </c>
    </row>
    <row r="1051" spans="1:5" x14ac:dyDescent="0.25">
      <c r="A1051" t="s">
        <v>5</v>
      </c>
      <c r="B1051" t="s">
        <v>11</v>
      </c>
      <c r="C1051">
        <v>99.33</v>
      </c>
      <c r="D1051">
        <v>95.13503</v>
      </c>
      <c r="E1051" s="1">
        <v>45689</v>
      </c>
    </row>
    <row r="1052" spans="1:5" x14ac:dyDescent="0.25">
      <c r="A1052" t="s">
        <v>5</v>
      </c>
      <c r="B1052" t="s">
        <v>11</v>
      </c>
      <c r="C1052">
        <v>98.43</v>
      </c>
      <c r="D1052">
        <v>94.978890000000007</v>
      </c>
      <c r="E1052" s="1">
        <v>45717</v>
      </c>
    </row>
    <row r="1053" spans="1:5" x14ac:dyDescent="0.25">
      <c r="A1053" t="s">
        <v>5</v>
      </c>
      <c r="B1053" t="s">
        <v>11</v>
      </c>
      <c r="C1053">
        <v>96.43</v>
      </c>
      <c r="D1053">
        <v>93.776960000000003</v>
      </c>
      <c r="E1053" s="1">
        <v>45748</v>
      </c>
    </row>
    <row r="1054" spans="1:5" x14ac:dyDescent="0.25">
      <c r="A1054" t="s">
        <v>5</v>
      </c>
      <c r="B1054" t="s">
        <v>11</v>
      </c>
      <c r="C1054">
        <v>98.16</v>
      </c>
      <c r="D1054">
        <v>98.151740000000004</v>
      </c>
      <c r="E1054" s="1">
        <v>45778</v>
      </c>
    </row>
    <row r="1055" spans="1:5" x14ac:dyDescent="0.25">
      <c r="A1055" t="s">
        <v>5</v>
      </c>
      <c r="B1055" t="s">
        <v>11</v>
      </c>
      <c r="C1055">
        <v>97.16</v>
      </c>
      <c r="D1055">
        <v>96.801839999999999</v>
      </c>
      <c r="E1055" s="1">
        <v>45809</v>
      </c>
    </row>
    <row r="1056" spans="1:5" x14ac:dyDescent="0.25">
      <c r="A1056" t="s">
        <v>5</v>
      </c>
      <c r="B1056" t="s">
        <v>11</v>
      </c>
      <c r="C1056">
        <v>96.88</v>
      </c>
      <c r="D1056">
        <v>98.340459999999993</v>
      </c>
      <c r="E1056" s="1">
        <v>45839</v>
      </c>
    </row>
    <row r="1057" spans="1:5" x14ac:dyDescent="0.25">
      <c r="A1057" t="s">
        <v>5</v>
      </c>
      <c r="B1057" t="s">
        <v>11</v>
      </c>
      <c r="C1057">
        <v>97.73</v>
      </c>
      <c r="D1057">
        <v>99.075410000000005</v>
      </c>
      <c r="E1057" s="1">
        <v>45870</v>
      </c>
    </row>
    <row r="1058" spans="1:5" x14ac:dyDescent="0.25">
      <c r="A1058" t="s">
        <v>12</v>
      </c>
      <c r="B1058" t="s">
        <v>11</v>
      </c>
      <c r="C1058">
        <v>106.03</v>
      </c>
      <c r="D1058">
        <v>106.75623</v>
      </c>
      <c r="E1058" s="1">
        <v>40544</v>
      </c>
    </row>
    <row r="1059" spans="1:5" x14ac:dyDescent="0.25">
      <c r="A1059" t="s">
        <v>12</v>
      </c>
      <c r="B1059" t="s">
        <v>11</v>
      </c>
      <c r="C1059">
        <v>104.45</v>
      </c>
      <c r="D1059">
        <v>102.18034</v>
      </c>
      <c r="E1059" s="1">
        <v>40575</v>
      </c>
    </row>
    <row r="1060" spans="1:5" x14ac:dyDescent="0.25">
      <c r="A1060" t="s">
        <v>12</v>
      </c>
      <c r="B1060" t="s">
        <v>11</v>
      </c>
      <c r="C1060">
        <v>107.94</v>
      </c>
      <c r="D1060">
        <v>105.76854</v>
      </c>
      <c r="E1060" s="1">
        <v>40603</v>
      </c>
    </row>
    <row r="1061" spans="1:5" x14ac:dyDescent="0.25">
      <c r="A1061" t="s">
        <v>12</v>
      </c>
      <c r="B1061" t="s">
        <v>11</v>
      </c>
      <c r="C1061">
        <v>105.21</v>
      </c>
      <c r="D1061">
        <v>102.49615</v>
      </c>
      <c r="E1061" s="1">
        <v>40634</v>
      </c>
    </row>
    <row r="1062" spans="1:5" x14ac:dyDescent="0.25">
      <c r="A1062" t="s">
        <v>12</v>
      </c>
      <c r="B1062" t="s">
        <v>11</v>
      </c>
      <c r="C1062">
        <v>106.87</v>
      </c>
      <c r="D1062">
        <v>108.54499</v>
      </c>
      <c r="E1062" s="1">
        <v>40664</v>
      </c>
    </row>
    <row r="1063" spans="1:5" x14ac:dyDescent="0.25">
      <c r="A1063" t="s">
        <v>12</v>
      </c>
      <c r="B1063" t="s">
        <v>11</v>
      </c>
      <c r="C1063">
        <v>105</v>
      </c>
      <c r="D1063">
        <v>103.01894</v>
      </c>
      <c r="E1063" s="1">
        <v>40695</v>
      </c>
    </row>
    <row r="1064" spans="1:5" x14ac:dyDescent="0.25">
      <c r="A1064" t="s">
        <v>12</v>
      </c>
      <c r="B1064" t="s">
        <v>11</v>
      </c>
      <c r="C1064">
        <v>106.25</v>
      </c>
      <c r="D1064">
        <v>102.27003000000001</v>
      </c>
      <c r="E1064" s="1">
        <v>40725</v>
      </c>
    </row>
    <row r="1065" spans="1:5" x14ac:dyDescent="0.25">
      <c r="A1065" t="s">
        <v>12</v>
      </c>
      <c r="B1065" t="s">
        <v>11</v>
      </c>
      <c r="C1065">
        <v>106.52</v>
      </c>
      <c r="D1065">
        <v>111.31668000000001</v>
      </c>
      <c r="E1065" s="1">
        <v>40756</v>
      </c>
    </row>
    <row r="1066" spans="1:5" x14ac:dyDescent="0.25">
      <c r="A1066" t="s">
        <v>12</v>
      </c>
      <c r="B1066" t="s">
        <v>11</v>
      </c>
      <c r="C1066">
        <v>102.25</v>
      </c>
      <c r="D1066">
        <v>103.48676</v>
      </c>
      <c r="E1066" s="1">
        <v>40787</v>
      </c>
    </row>
    <row r="1067" spans="1:5" x14ac:dyDescent="0.25">
      <c r="A1067" t="s">
        <v>12</v>
      </c>
      <c r="B1067" t="s">
        <v>11</v>
      </c>
      <c r="C1067">
        <v>100.04</v>
      </c>
      <c r="D1067">
        <v>100.59604</v>
      </c>
      <c r="E1067" s="1">
        <v>40817</v>
      </c>
    </row>
    <row r="1068" spans="1:5" x14ac:dyDescent="0.25">
      <c r="A1068" t="s">
        <v>12</v>
      </c>
      <c r="B1068" t="s">
        <v>11</v>
      </c>
      <c r="C1068">
        <v>100.63</v>
      </c>
      <c r="D1068">
        <v>98.213170000000005</v>
      </c>
      <c r="E1068" s="1">
        <v>40848</v>
      </c>
    </row>
    <row r="1069" spans="1:5" x14ac:dyDescent="0.25">
      <c r="A1069" t="s">
        <v>12</v>
      </c>
      <c r="B1069" t="s">
        <v>11</v>
      </c>
      <c r="C1069">
        <v>101.35</v>
      </c>
      <c r="D1069">
        <v>106.12097</v>
      </c>
      <c r="E1069" s="1">
        <v>40878</v>
      </c>
    </row>
    <row r="1070" spans="1:5" x14ac:dyDescent="0.25">
      <c r="A1070" t="s">
        <v>12</v>
      </c>
      <c r="B1070" t="s">
        <v>11</v>
      </c>
      <c r="C1070">
        <v>104.33</v>
      </c>
      <c r="D1070">
        <v>106.45822</v>
      </c>
      <c r="E1070" s="1">
        <v>40909</v>
      </c>
    </row>
    <row r="1071" spans="1:5" x14ac:dyDescent="0.25">
      <c r="A1071" t="s">
        <v>12</v>
      </c>
      <c r="B1071" t="s">
        <v>11</v>
      </c>
      <c r="C1071">
        <v>104.22</v>
      </c>
      <c r="D1071">
        <v>102.77339000000001</v>
      </c>
      <c r="E1071" s="1">
        <v>40940</v>
      </c>
    </row>
    <row r="1072" spans="1:5" x14ac:dyDescent="0.25">
      <c r="A1072" t="s">
        <v>12</v>
      </c>
      <c r="B1072" t="s">
        <v>11</v>
      </c>
      <c r="C1072">
        <v>104.33</v>
      </c>
      <c r="D1072">
        <v>103.43098000000001</v>
      </c>
      <c r="E1072" s="1">
        <v>40969</v>
      </c>
    </row>
    <row r="1073" spans="1:5" x14ac:dyDescent="0.25">
      <c r="A1073" t="s">
        <v>12</v>
      </c>
      <c r="B1073" t="s">
        <v>11</v>
      </c>
      <c r="C1073">
        <v>103.44</v>
      </c>
      <c r="D1073">
        <v>100.87726000000001</v>
      </c>
      <c r="E1073" s="1">
        <v>41000</v>
      </c>
    </row>
    <row r="1074" spans="1:5" x14ac:dyDescent="0.25">
      <c r="A1074" t="s">
        <v>12</v>
      </c>
      <c r="B1074" t="s">
        <v>11</v>
      </c>
      <c r="C1074">
        <v>104.21</v>
      </c>
      <c r="D1074">
        <v>106.46146</v>
      </c>
      <c r="E1074" s="1">
        <v>41030</v>
      </c>
    </row>
    <row r="1075" spans="1:5" x14ac:dyDescent="0.25">
      <c r="A1075" t="s">
        <v>12</v>
      </c>
      <c r="B1075" t="s">
        <v>11</v>
      </c>
      <c r="C1075">
        <v>104.33</v>
      </c>
      <c r="D1075">
        <v>101.78767999999999</v>
      </c>
      <c r="E1075" s="1">
        <v>41061</v>
      </c>
    </row>
    <row r="1076" spans="1:5" x14ac:dyDescent="0.25">
      <c r="A1076" t="s">
        <v>12</v>
      </c>
      <c r="B1076" t="s">
        <v>11</v>
      </c>
      <c r="C1076">
        <v>103.77</v>
      </c>
      <c r="D1076">
        <v>100.70128</v>
      </c>
      <c r="E1076" s="1">
        <v>41091</v>
      </c>
    </row>
    <row r="1077" spans="1:5" x14ac:dyDescent="0.25">
      <c r="A1077" t="s">
        <v>12</v>
      </c>
      <c r="B1077" t="s">
        <v>11</v>
      </c>
      <c r="C1077">
        <v>101.18</v>
      </c>
      <c r="D1077">
        <v>104.69497</v>
      </c>
      <c r="E1077" s="1">
        <v>41122</v>
      </c>
    </row>
    <row r="1078" spans="1:5" x14ac:dyDescent="0.25">
      <c r="A1078" t="s">
        <v>12</v>
      </c>
      <c r="B1078" t="s">
        <v>11</v>
      </c>
      <c r="C1078">
        <v>102.93</v>
      </c>
      <c r="D1078">
        <v>103.70757</v>
      </c>
      <c r="E1078" s="1">
        <v>41153</v>
      </c>
    </row>
    <row r="1079" spans="1:5" x14ac:dyDescent="0.25">
      <c r="A1079" t="s">
        <v>12</v>
      </c>
      <c r="B1079" t="s">
        <v>11</v>
      </c>
      <c r="C1079">
        <v>96</v>
      </c>
      <c r="D1079">
        <v>100.28787</v>
      </c>
      <c r="E1079" s="1">
        <v>41183</v>
      </c>
    </row>
    <row r="1080" spans="1:5" x14ac:dyDescent="0.25">
      <c r="A1080" t="s">
        <v>12</v>
      </c>
      <c r="B1080" t="s">
        <v>11</v>
      </c>
      <c r="C1080">
        <v>99.9</v>
      </c>
      <c r="D1080">
        <v>95.285899999999998</v>
      </c>
      <c r="E1080" s="1">
        <v>41214</v>
      </c>
    </row>
    <row r="1081" spans="1:5" x14ac:dyDescent="0.25">
      <c r="A1081" t="s">
        <v>12</v>
      </c>
      <c r="B1081" t="s">
        <v>11</v>
      </c>
      <c r="C1081">
        <v>102.33</v>
      </c>
      <c r="D1081">
        <v>107.23914000000001</v>
      </c>
      <c r="E1081" s="1">
        <v>41244</v>
      </c>
    </row>
    <row r="1082" spans="1:5" x14ac:dyDescent="0.25">
      <c r="A1082" t="s">
        <v>12</v>
      </c>
      <c r="B1082" t="s">
        <v>11</v>
      </c>
      <c r="C1082">
        <v>103.5</v>
      </c>
      <c r="D1082">
        <v>105.45131000000001</v>
      </c>
      <c r="E1082" s="1">
        <v>41275</v>
      </c>
    </row>
    <row r="1083" spans="1:5" x14ac:dyDescent="0.25">
      <c r="A1083" t="s">
        <v>12</v>
      </c>
      <c r="B1083" t="s">
        <v>11</v>
      </c>
      <c r="C1083">
        <v>104.47</v>
      </c>
      <c r="D1083">
        <v>97.742069999999998</v>
      </c>
      <c r="E1083" s="1">
        <v>41306</v>
      </c>
    </row>
    <row r="1084" spans="1:5" x14ac:dyDescent="0.25">
      <c r="A1084" t="s">
        <v>12</v>
      </c>
      <c r="B1084" t="s">
        <v>11</v>
      </c>
      <c r="C1084">
        <v>102.02</v>
      </c>
      <c r="D1084">
        <v>98.622169999999997</v>
      </c>
      <c r="E1084" s="1">
        <v>41334</v>
      </c>
    </row>
    <row r="1085" spans="1:5" x14ac:dyDescent="0.25">
      <c r="A1085" t="s">
        <v>12</v>
      </c>
      <c r="B1085" t="s">
        <v>11</v>
      </c>
      <c r="C1085">
        <v>101.06</v>
      </c>
      <c r="D1085">
        <v>103.26555</v>
      </c>
      <c r="E1085" s="1">
        <v>41365</v>
      </c>
    </row>
    <row r="1086" spans="1:5" x14ac:dyDescent="0.25">
      <c r="A1086" t="s">
        <v>12</v>
      </c>
      <c r="B1086" t="s">
        <v>11</v>
      </c>
      <c r="C1086">
        <v>101.15</v>
      </c>
      <c r="D1086">
        <v>102.07302</v>
      </c>
      <c r="E1086" s="1">
        <v>41395</v>
      </c>
    </row>
    <row r="1087" spans="1:5" x14ac:dyDescent="0.25">
      <c r="A1087" t="s">
        <v>12</v>
      </c>
      <c r="B1087" t="s">
        <v>11</v>
      </c>
      <c r="C1087">
        <v>104.79</v>
      </c>
      <c r="D1087">
        <v>102.38557</v>
      </c>
      <c r="E1087" s="1">
        <v>41426</v>
      </c>
    </row>
    <row r="1088" spans="1:5" x14ac:dyDescent="0.25">
      <c r="A1088" t="s">
        <v>12</v>
      </c>
      <c r="B1088" t="s">
        <v>11</v>
      </c>
      <c r="C1088">
        <v>97.71</v>
      </c>
      <c r="D1088">
        <v>96.402060000000006</v>
      </c>
      <c r="E1088" s="1">
        <v>41456</v>
      </c>
    </row>
    <row r="1089" spans="1:5" x14ac:dyDescent="0.25">
      <c r="A1089" t="s">
        <v>12</v>
      </c>
      <c r="B1089" t="s">
        <v>11</v>
      </c>
      <c r="C1089">
        <v>97.89</v>
      </c>
      <c r="D1089">
        <v>98.703140000000005</v>
      </c>
      <c r="E1089" s="1">
        <v>41487</v>
      </c>
    </row>
    <row r="1090" spans="1:5" x14ac:dyDescent="0.25">
      <c r="A1090" t="s">
        <v>12</v>
      </c>
      <c r="B1090" t="s">
        <v>11</v>
      </c>
      <c r="C1090">
        <v>98.01</v>
      </c>
      <c r="D1090">
        <v>99.431299999999993</v>
      </c>
      <c r="E1090" s="1">
        <v>41518</v>
      </c>
    </row>
    <row r="1091" spans="1:5" x14ac:dyDescent="0.25">
      <c r="A1091" t="s">
        <v>12</v>
      </c>
      <c r="B1091" t="s">
        <v>11</v>
      </c>
      <c r="C1091">
        <v>98.55</v>
      </c>
      <c r="D1091">
        <v>102.68159</v>
      </c>
      <c r="E1091" s="1">
        <v>41548</v>
      </c>
    </row>
    <row r="1092" spans="1:5" x14ac:dyDescent="0.25">
      <c r="A1092" t="s">
        <v>12</v>
      </c>
      <c r="B1092" t="s">
        <v>11</v>
      </c>
      <c r="C1092">
        <v>98.17</v>
      </c>
      <c r="D1092">
        <v>94.716279999999998</v>
      </c>
      <c r="E1092" s="1">
        <v>41579</v>
      </c>
    </row>
    <row r="1093" spans="1:5" x14ac:dyDescent="0.25">
      <c r="A1093" t="s">
        <v>12</v>
      </c>
      <c r="B1093" t="s">
        <v>11</v>
      </c>
      <c r="C1093">
        <v>99.75</v>
      </c>
      <c r="D1093">
        <v>106.39678000000001</v>
      </c>
      <c r="E1093" s="1">
        <v>41609</v>
      </c>
    </row>
    <row r="1094" spans="1:5" x14ac:dyDescent="0.25">
      <c r="A1094" t="s">
        <v>12</v>
      </c>
      <c r="B1094" t="s">
        <v>11</v>
      </c>
      <c r="C1094">
        <v>97.9</v>
      </c>
      <c r="D1094">
        <v>98.452089999999998</v>
      </c>
      <c r="E1094" s="1">
        <v>41640</v>
      </c>
    </row>
    <row r="1095" spans="1:5" x14ac:dyDescent="0.25">
      <c r="A1095" t="s">
        <v>12</v>
      </c>
      <c r="B1095" t="s">
        <v>11</v>
      </c>
      <c r="C1095">
        <v>95.77</v>
      </c>
      <c r="D1095">
        <v>92.017960000000002</v>
      </c>
      <c r="E1095" s="1">
        <v>41671</v>
      </c>
    </row>
    <row r="1096" spans="1:5" x14ac:dyDescent="0.25">
      <c r="A1096" t="s">
        <v>12</v>
      </c>
      <c r="B1096" t="s">
        <v>11</v>
      </c>
      <c r="C1096">
        <v>93.84</v>
      </c>
      <c r="D1096">
        <v>89.915459999999996</v>
      </c>
      <c r="E1096" s="1">
        <v>41699</v>
      </c>
    </row>
    <row r="1097" spans="1:5" x14ac:dyDescent="0.25">
      <c r="A1097" t="s">
        <v>12</v>
      </c>
      <c r="B1097" t="s">
        <v>11</v>
      </c>
      <c r="C1097">
        <v>100.38</v>
      </c>
      <c r="D1097">
        <v>101.4059</v>
      </c>
      <c r="E1097" s="1">
        <v>41730</v>
      </c>
    </row>
    <row r="1098" spans="1:5" x14ac:dyDescent="0.25">
      <c r="A1098" t="s">
        <v>12</v>
      </c>
      <c r="B1098" t="s">
        <v>11</v>
      </c>
      <c r="C1098">
        <v>94.17</v>
      </c>
      <c r="D1098">
        <v>93.523799999999994</v>
      </c>
      <c r="E1098" s="1">
        <v>41760</v>
      </c>
    </row>
    <row r="1099" spans="1:5" x14ac:dyDescent="0.25">
      <c r="A1099" t="s">
        <v>12</v>
      </c>
      <c r="B1099" t="s">
        <v>11</v>
      </c>
      <c r="C1099">
        <v>95.35</v>
      </c>
      <c r="D1099">
        <v>93.041380000000004</v>
      </c>
      <c r="E1099" s="1">
        <v>41791</v>
      </c>
    </row>
    <row r="1100" spans="1:5" x14ac:dyDescent="0.25">
      <c r="A1100" t="s">
        <v>12</v>
      </c>
      <c r="B1100" t="s">
        <v>11</v>
      </c>
      <c r="C1100">
        <v>95.95</v>
      </c>
      <c r="D1100">
        <v>93.987970000000004</v>
      </c>
      <c r="E1100" s="1">
        <v>41821</v>
      </c>
    </row>
    <row r="1101" spans="1:5" x14ac:dyDescent="0.25">
      <c r="A1101" t="s">
        <v>12</v>
      </c>
      <c r="B1101" t="s">
        <v>11</v>
      </c>
      <c r="C1101">
        <v>97.67</v>
      </c>
      <c r="D1101">
        <v>99.211699999999993</v>
      </c>
      <c r="E1101" s="1">
        <v>41852</v>
      </c>
    </row>
    <row r="1102" spans="1:5" x14ac:dyDescent="0.25">
      <c r="A1102" t="s">
        <v>12</v>
      </c>
      <c r="B1102" t="s">
        <v>11</v>
      </c>
      <c r="C1102">
        <v>97.39</v>
      </c>
      <c r="D1102">
        <v>99.489080000000001</v>
      </c>
      <c r="E1102" s="1">
        <v>41883</v>
      </c>
    </row>
    <row r="1103" spans="1:5" x14ac:dyDescent="0.25">
      <c r="A1103" t="s">
        <v>12</v>
      </c>
      <c r="B1103" t="s">
        <v>11</v>
      </c>
      <c r="C1103">
        <v>102.49</v>
      </c>
      <c r="D1103">
        <v>107.15864999999999</v>
      </c>
      <c r="E1103" s="1">
        <v>41913</v>
      </c>
    </row>
    <row r="1104" spans="1:5" x14ac:dyDescent="0.25">
      <c r="A1104" t="s">
        <v>12</v>
      </c>
      <c r="B1104" t="s">
        <v>11</v>
      </c>
      <c r="C1104">
        <v>95.2</v>
      </c>
      <c r="D1104">
        <v>91.81344</v>
      </c>
      <c r="E1104" s="1">
        <v>41944</v>
      </c>
    </row>
    <row r="1105" spans="1:5" x14ac:dyDescent="0.25">
      <c r="A1105" t="s">
        <v>12</v>
      </c>
      <c r="B1105" t="s">
        <v>11</v>
      </c>
      <c r="C1105">
        <v>90.27</v>
      </c>
      <c r="D1105">
        <v>98.102760000000004</v>
      </c>
      <c r="E1105" s="1">
        <v>41974</v>
      </c>
    </row>
    <row r="1106" spans="1:5" x14ac:dyDescent="0.25">
      <c r="A1106" t="s">
        <v>12</v>
      </c>
      <c r="B1106" t="s">
        <v>11</v>
      </c>
      <c r="C1106">
        <v>88.1</v>
      </c>
      <c r="D1106">
        <v>85.550340000000006</v>
      </c>
      <c r="E1106" s="1">
        <v>42005</v>
      </c>
    </row>
    <row r="1107" spans="1:5" x14ac:dyDescent="0.25">
      <c r="A1107" t="s">
        <v>12</v>
      </c>
      <c r="B1107" t="s">
        <v>11</v>
      </c>
      <c r="C1107">
        <v>88.3</v>
      </c>
      <c r="D1107">
        <v>82.157179999999997</v>
      </c>
      <c r="E1107" s="1">
        <v>42036</v>
      </c>
    </row>
    <row r="1108" spans="1:5" x14ac:dyDescent="0.25">
      <c r="A1108" t="s">
        <v>12</v>
      </c>
      <c r="B1108" t="s">
        <v>11</v>
      </c>
      <c r="C1108">
        <v>87.56</v>
      </c>
      <c r="D1108">
        <v>88.133560000000003</v>
      </c>
      <c r="E1108" s="1">
        <v>42064</v>
      </c>
    </row>
    <row r="1109" spans="1:5" x14ac:dyDescent="0.25">
      <c r="A1109" t="s">
        <v>12</v>
      </c>
      <c r="B1109" t="s">
        <v>11</v>
      </c>
      <c r="C1109">
        <v>88.95</v>
      </c>
      <c r="D1109">
        <v>88.251239999999996</v>
      </c>
      <c r="E1109" s="1">
        <v>42095</v>
      </c>
    </row>
    <row r="1110" spans="1:5" x14ac:dyDescent="0.25">
      <c r="A1110" t="s">
        <v>12</v>
      </c>
      <c r="B1110" t="s">
        <v>11</v>
      </c>
      <c r="C1110">
        <v>87.67</v>
      </c>
      <c r="D1110">
        <v>87.897570000000002</v>
      </c>
      <c r="E1110" s="1">
        <v>42125</v>
      </c>
    </row>
    <row r="1111" spans="1:5" x14ac:dyDescent="0.25">
      <c r="A1111" t="s">
        <v>12</v>
      </c>
      <c r="B1111" t="s">
        <v>11</v>
      </c>
      <c r="C1111">
        <v>87.37</v>
      </c>
      <c r="D1111">
        <v>86.045739999999995</v>
      </c>
      <c r="E1111" s="1">
        <v>42156</v>
      </c>
    </row>
    <row r="1112" spans="1:5" x14ac:dyDescent="0.25">
      <c r="A1112" t="s">
        <v>12</v>
      </c>
      <c r="B1112" t="s">
        <v>11</v>
      </c>
      <c r="C1112">
        <v>85.88</v>
      </c>
      <c r="D1112">
        <v>84.311099999999996</v>
      </c>
      <c r="E1112" s="1">
        <v>42186</v>
      </c>
    </row>
    <row r="1113" spans="1:5" x14ac:dyDescent="0.25">
      <c r="A1113" t="s">
        <v>12</v>
      </c>
      <c r="B1113" t="s">
        <v>11</v>
      </c>
      <c r="C1113">
        <v>84.94</v>
      </c>
      <c r="D1113">
        <v>85.052239999999998</v>
      </c>
      <c r="E1113" s="1">
        <v>42217</v>
      </c>
    </row>
    <row r="1114" spans="1:5" x14ac:dyDescent="0.25">
      <c r="A1114" t="s">
        <v>12</v>
      </c>
      <c r="B1114" t="s">
        <v>11</v>
      </c>
      <c r="C1114">
        <v>85.06</v>
      </c>
      <c r="D1114">
        <v>88.130330000000001</v>
      </c>
      <c r="E1114" s="1">
        <v>42248</v>
      </c>
    </row>
    <row r="1115" spans="1:5" x14ac:dyDescent="0.25">
      <c r="A1115" t="s">
        <v>12</v>
      </c>
      <c r="B1115" t="s">
        <v>11</v>
      </c>
      <c r="C1115">
        <v>87.11</v>
      </c>
      <c r="D1115">
        <v>88.91377</v>
      </c>
      <c r="E1115" s="1">
        <v>42278</v>
      </c>
    </row>
    <row r="1116" spans="1:5" x14ac:dyDescent="0.25">
      <c r="A1116" t="s">
        <v>12</v>
      </c>
      <c r="B1116" t="s">
        <v>11</v>
      </c>
      <c r="C1116">
        <v>87.76</v>
      </c>
      <c r="D1116">
        <v>85.831649999999996</v>
      </c>
      <c r="E1116" s="1">
        <v>42309</v>
      </c>
    </row>
    <row r="1117" spans="1:5" x14ac:dyDescent="0.25">
      <c r="A1117" t="s">
        <v>12</v>
      </c>
      <c r="B1117" t="s">
        <v>11</v>
      </c>
      <c r="C1117">
        <v>78.069999999999993</v>
      </c>
      <c r="D1117">
        <v>84.196299999999994</v>
      </c>
      <c r="E1117" s="1">
        <v>42339</v>
      </c>
    </row>
    <row r="1118" spans="1:5" x14ac:dyDescent="0.25">
      <c r="A1118" t="s">
        <v>12</v>
      </c>
      <c r="B1118" t="s">
        <v>11</v>
      </c>
      <c r="C1118">
        <v>81.75</v>
      </c>
      <c r="D1118">
        <v>79.802310000000006</v>
      </c>
      <c r="E1118" s="1">
        <v>42370</v>
      </c>
    </row>
    <row r="1119" spans="1:5" x14ac:dyDescent="0.25">
      <c r="A1119" t="s">
        <v>12</v>
      </c>
      <c r="B1119" t="s">
        <v>11</v>
      </c>
      <c r="C1119">
        <v>81.349999999999994</v>
      </c>
      <c r="D1119">
        <v>78.177819999999997</v>
      </c>
      <c r="E1119" s="1">
        <v>42401</v>
      </c>
    </row>
    <row r="1120" spans="1:5" x14ac:dyDescent="0.25">
      <c r="A1120" t="s">
        <v>12</v>
      </c>
      <c r="B1120" t="s">
        <v>11</v>
      </c>
      <c r="C1120">
        <v>97.98</v>
      </c>
      <c r="D1120">
        <v>96.718999999999994</v>
      </c>
      <c r="E1120" s="1">
        <v>42430</v>
      </c>
    </row>
    <row r="1121" spans="1:5" x14ac:dyDescent="0.25">
      <c r="A1121" t="s">
        <v>12</v>
      </c>
      <c r="B1121" t="s">
        <v>11</v>
      </c>
      <c r="C1121">
        <v>85.8</v>
      </c>
      <c r="D1121">
        <v>87.176829999999995</v>
      </c>
      <c r="E1121" s="1">
        <v>42461</v>
      </c>
    </row>
    <row r="1122" spans="1:5" x14ac:dyDescent="0.25">
      <c r="A1122" t="s">
        <v>12</v>
      </c>
      <c r="B1122" t="s">
        <v>11</v>
      </c>
      <c r="C1122">
        <v>84.4</v>
      </c>
      <c r="D1122">
        <v>82.963710000000006</v>
      </c>
      <c r="E1122" s="1">
        <v>42491</v>
      </c>
    </row>
    <row r="1123" spans="1:5" x14ac:dyDescent="0.25">
      <c r="A1123" t="s">
        <v>12</v>
      </c>
      <c r="B1123" t="s">
        <v>11</v>
      </c>
      <c r="C1123">
        <v>84.88</v>
      </c>
      <c r="D1123">
        <v>85.744200000000006</v>
      </c>
      <c r="E1123" s="1">
        <v>42522</v>
      </c>
    </row>
    <row r="1124" spans="1:5" x14ac:dyDescent="0.25">
      <c r="A1124" t="s">
        <v>12</v>
      </c>
      <c r="B1124" t="s">
        <v>11</v>
      </c>
      <c r="C1124">
        <v>92.81</v>
      </c>
      <c r="D1124">
        <v>90.285510000000002</v>
      </c>
      <c r="E1124" s="1">
        <v>42552</v>
      </c>
    </row>
    <row r="1125" spans="1:5" x14ac:dyDescent="0.25">
      <c r="A1125" t="s">
        <v>12</v>
      </c>
      <c r="B1125" t="s">
        <v>11</v>
      </c>
      <c r="C1125">
        <v>88.77</v>
      </c>
      <c r="D1125">
        <v>91.633709999999994</v>
      </c>
      <c r="E1125" s="1">
        <v>42583</v>
      </c>
    </row>
    <row r="1126" spans="1:5" x14ac:dyDescent="0.25">
      <c r="A1126" t="s">
        <v>12</v>
      </c>
      <c r="B1126" t="s">
        <v>11</v>
      </c>
      <c r="C1126">
        <v>87.2</v>
      </c>
      <c r="D1126">
        <v>87.424890000000005</v>
      </c>
      <c r="E1126" s="1">
        <v>42614</v>
      </c>
    </row>
    <row r="1127" spans="1:5" x14ac:dyDescent="0.25">
      <c r="A1127" t="s">
        <v>12</v>
      </c>
      <c r="B1127" t="s">
        <v>11</v>
      </c>
      <c r="C1127">
        <v>89.14</v>
      </c>
      <c r="D1127">
        <v>90.56259</v>
      </c>
      <c r="E1127" s="1">
        <v>42644</v>
      </c>
    </row>
    <row r="1128" spans="1:5" x14ac:dyDescent="0.25">
      <c r="A1128" t="s">
        <v>12</v>
      </c>
      <c r="B1128" t="s">
        <v>11</v>
      </c>
      <c r="C1128">
        <v>93.02</v>
      </c>
      <c r="D1128">
        <v>93.366590000000002</v>
      </c>
      <c r="E1128" s="1">
        <v>42675</v>
      </c>
    </row>
    <row r="1129" spans="1:5" x14ac:dyDescent="0.25">
      <c r="A1129" t="s">
        <v>12</v>
      </c>
      <c r="B1129" t="s">
        <v>11</v>
      </c>
      <c r="C1129">
        <v>89.46</v>
      </c>
      <c r="D1129">
        <v>94.55592</v>
      </c>
      <c r="E1129" s="1">
        <v>42705</v>
      </c>
    </row>
    <row r="1130" spans="1:5" x14ac:dyDescent="0.25">
      <c r="A1130" t="s">
        <v>12</v>
      </c>
      <c r="B1130" t="s">
        <v>11</v>
      </c>
      <c r="C1130">
        <v>72.77</v>
      </c>
      <c r="D1130">
        <v>71.650000000000006</v>
      </c>
      <c r="E1130" s="1">
        <v>42736</v>
      </c>
    </row>
    <row r="1131" spans="1:5" x14ac:dyDescent="0.25">
      <c r="A1131" t="s">
        <v>12</v>
      </c>
      <c r="B1131" t="s">
        <v>11</v>
      </c>
      <c r="C1131">
        <v>74.48</v>
      </c>
      <c r="D1131">
        <v>69.593530000000001</v>
      </c>
      <c r="E1131" s="1">
        <v>42767</v>
      </c>
    </row>
    <row r="1132" spans="1:5" x14ac:dyDescent="0.25">
      <c r="A1132" t="s">
        <v>12</v>
      </c>
      <c r="B1132" t="s">
        <v>11</v>
      </c>
      <c r="C1132">
        <v>74.17</v>
      </c>
      <c r="D1132">
        <v>76.049400000000006</v>
      </c>
      <c r="E1132" s="1">
        <v>42795</v>
      </c>
    </row>
    <row r="1133" spans="1:5" x14ac:dyDescent="0.25">
      <c r="A1133" t="s">
        <v>12</v>
      </c>
      <c r="B1133" t="s">
        <v>11</v>
      </c>
      <c r="C1133">
        <v>72.66</v>
      </c>
      <c r="D1133">
        <v>70.553200000000004</v>
      </c>
      <c r="E1133" s="1">
        <v>42826</v>
      </c>
    </row>
    <row r="1134" spans="1:5" x14ac:dyDescent="0.25">
      <c r="A1134" t="s">
        <v>12</v>
      </c>
      <c r="B1134" t="s">
        <v>11</v>
      </c>
      <c r="C1134">
        <v>77.62</v>
      </c>
      <c r="D1134">
        <v>79.439769999999996</v>
      </c>
      <c r="E1134" s="1">
        <v>42856</v>
      </c>
    </row>
    <row r="1135" spans="1:5" x14ac:dyDescent="0.25">
      <c r="A1135" t="s">
        <v>12</v>
      </c>
      <c r="B1135" t="s">
        <v>11</v>
      </c>
      <c r="C1135">
        <v>75.2</v>
      </c>
      <c r="D1135">
        <v>73.412509999999997</v>
      </c>
      <c r="E1135" s="1">
        <v>42887</v>
      </c>
    </row>
    <row r="1136" spans="1:5" x14ac:dyDescent="0.25">
      <c r="A1136" t="s">
        <v>12</v>
      </c>
      <c r="B1136" t="s">
        <v>11</v>
      </c>
      <c r="C1136">
        <v>75.22</v>
      </c>
      <c r="D1136">
        <v>72.846720000000005</v>
      </c>
      <c r="E1136" s="1">
        <v>42917</v>
      </c>
    </row>
    <row r="1137" spans="1:5" x14ac:dyDescent="0.25">
      <c r="A1137" t="s">
        <v>12</v>
      </c>
      <c r="B1137" t="s">
        <v>11</v>
      </c>
      <c r="C1137">
        <v>73.290000000000006</v>
      </c>
      <c r="D1137">
        <v>74.965419999999995</v>
      </c>
      <c r="E1137" s="1">
        <v>42948</v>
      </c>
    </row>
    <row r="1138" spans="1:5" x14ac:dyDescent="0.25">
      <c r="A1138" t="s">
        <v>12</v>
      </c>
      <c r="B1138" t="s">
        <v>11</v>
      </c>
      <c r="C1138">
        <v>75.19</v>
      </c>
      <c r="D1138">
        <v>75.198809999999995</v>
      </c>
      <c r="E1138" s="1">
        <v>42979</v>
      </c>
    </row>
    <row r="1139" spans="1:5" x14ac:dyDescent="0.25">
      <c r="A1139" t="s">
        <v>12</v>
      </c>
      <c r="B1139" t="s">
        <v>11</v>
      </c>
      <c r="C1139">
        <v>75.23</v>
      </c>
      <c r="D1139">
        <v>77.094329999999999</v>
      </c>
      <c r="E1139" s="1">
        <v>43009</v>
      </c>
    </row>
    <row r="1140" spans="1:5" x14ac:dyDescent="0.25">
      <c r="A1140" t="s">
        <v>12</v>
      </c>
      <c r="B1140" t="s">
        <v>11</v>
      </c>
      <c r="C1140">
        <v>73.22</v>
      </c>
      <c r="D1140">
        <v>71.844130000000007</v>
      </c>
      <c r="E1140" s="1">
        <v>43040</v>
      </c>
    </row>
    <row r="1141" spans="1:5" x14ac:dyDescent="0.25">
      <c r="A1141" t="s">
        <v>12</v>
      </c>
      <c r="B1141" t="s">
        <v>11</v>
      </c>
      <c r="C1141">
        <v>77.87</v>
      </c>
      <c r="D1141">
        <v>83.626900000000006</v>
      </c>
      <c r="E1141" s="1">
        <v>43070</v>
      </c>
    </row>
    <row r="1142" spans="1:5" x14ac:dyDescent="0.25">
      <c r="A1142" t="s">
        <v>12</v>
      </c>
      <c r="B1142" t="s">
        <v>11</v>
      </c>
      <c r="C1142">
        <v>77.510000000000005</v>
      </c>
      <c r="D1142">
        <v>77.737750000000005</v>
      </c>
      <c r="E1142" s="1">
        <v>43101</v>
      </c>
    </row>
    <row r="1143" spans="1:5" x14ac:dyDescent="0.25">
      <c r="A1143" t="s">
        <v>12</v>
      </c>
      <c r="B1143" t="s">
        <v>11</v>
      </c>
      <c r="C1143">
        <v>78.260000000000005</v>
      </c>
      <c r="D1143">
        <v>73.563450000000003</v>
      </c>
      <c r="E1143" s="1">
        <v>43132</v>
      </c>
    </row>
    <row r="1144" spans="1:5" x14ac:dyDescent="0.25">
      <c r="A1144" t="s">
        <v>12</v>
      </c>
      <c r="B1144" t="s">
        <v>11</v>
      </c>
      <c r="C1144">
        <v>80.41</v>
      </c>
      <c r="D1144">
        <v>78.180059999999997</v>
      </c>
      <c r="E1144" s="1">
        <v>43160</v>
      </c>
    </row>
    <row r="1145" spans="1:5" x14ac:dyDescent="0.25">
      <c r="A1145" t="s">
        <v>12</v>
      </c>
      <c r="B1145" t="s">
        <v>11</v>
      </c>
      <c r="C1145">
        <v>79.209999999999994</v>
      </c>
      <c r="D1145">
        <v>79.407610000000005</v>
      </c>
      <c r="E1145" s="1">
        <v>43191</v>
      </c>
    </row>
    <row r="1146" spans="1:5" x14ac:dyDescent="0.25">
      <c r="A1146" t="s">
        <v>12</v>
      </c>
      <c r="B1146" t="s">
        <v>11</v>
      </c>
      <c r="C1146">
        <v>74.75</v>
      </c>
      <c r="D1146">
        <v>75.64922</v>
      </c>
      <c r="E1146" s="1">
        <v>43221</v>
      </c>
    </row>
    <row r="1147" spans="1:5" x14ac:dyDescent="0.25">
      <c r="A1147" t="s">
        <v>12</v>
      </c>
      <c r="B1147" t="s">
        <v>11</v>
      </c>
      <c r="C1147">
        <v>77.36</v>
      </c>
      <c r="D1147">
        <v>75.829989999999995</v>
      </c>
      <c r="E1147" s="1">
        <v>43252</v>
      </c>
    </row>
    <row r="1148" spans="1:5" x14ac:dyDescent="0.25">
      <c r="A1148" t="s">
        <v>12</v>
      </c>
      <c r="B1148" t="s">
        <v>11</v>
      </c>
      <c r="C1148">
        <v>74.02</v>
      </c>
      <c r="D1148">
        <v>73.371039999999994</v>
      </c>
      <c r="E1148" s="1">
        <v>43282</v>
      </c>
    </row>
    <row r="1149" spans="1:5" x14ac:dyDescent="0.25">
      <c r="A1149" t="s">
        <v>12</v>
      </c>
      <c r="B1149" t="s">
        <v>11</v>
      </c>
      <c r="C1149">
        <v>75.77</v>
      </c>
      <c r="D1149">
        <v>77.810109999999995</v>
      </c>
      <c r="E1149" s="1">
        <v>43313</v>
      </c>
    </row>
    <row r="1150" spans="1:5" x14ac:dyDescent="0.25">
      <c r="A1150" t="s">
        <v>12</v>
      </c>
      <c r="B1150" t="s">
        <v>11</v>
      </c>
      <c r="C1150">
        <v>78.599999999999994</v>
      </c>
      <c r="D1150">
        <v>77.766959999999997</v>
      </c>
      <c r="E1150" s="1">
        <v>43344</v>
      </c>
    </row>
    <row r="1151" spans="1:5" x14ac:dyDescent="0.25">
      <c r="A1151" t="s">
        <v>12</v>
      </c>
      <c r="B1151" t="s">
        <v>11</v>
      </c>
      <c r="C1151">
        <v>80.3</v>
      </c>
      <c r="D1151">
        <v>82.664420000000007</v>
      </c>
      <c r="E1151" s="1">
        <v>43374</v>
      </c>
    </row>
    <row r="1152" spans="1:5" x14ac:dyDescent="0.25">
      <c r="A1152" t="s">
        <v>12</v>
      </c>
      <c r="B1152" t="s">
        <v>11</v>
      </c>
      <c r="C1152">
        <v>81.62</v>
      </c>
      <c r="D1152">
        <v>78.912689999999998</v>
      </c>
      <c r="E1152" s="1">
        <v>43405</v>
      </c>
    </row>
    <row r="1153" spans="1:5" x14ac:dyDescent="0.25">
      <c r="A1153" t="s">
        <v>12</v>
      </c>
      <c r="B1153" t="s">
        <v>11</v>
      </c>
      <c r="C1153">
        <v>79.459999999999994</v>
      </c>
      <c r="D1153">
        <v>85.156589999999994</v>
      </c>
      <c r="E1153" s="1">
        <v>43435</v>
      </c>
    </row>
    <row r="1154" spans="1:5" x14ac:dyDescent="0.25">
      <c r="A1154" t="s">
        <v>12</v>
      </c>
      <c r="B1154" t="s">
        <v>11</v>
      </c>
      <c r="C1154">
        <v>83.86</v>
      </c>
      <c r="D1154">
        <v>83.522040000000004</v>
      </c>
      <c r="E1154" s="1">
        <v>43466</v>
      </c>
    </row>
    <row r="1155" spans="1:5" x14ac:dyDescent="0.25">
      <c r="A1155" t="s">
        <v>12</v>
      </c>
      <c r="B1155" t="s">
        <v>11</v>
      </c>
      <c r="C1155">
        <v>82.29</v>
      </c>
      <c r="D1155">
        <v>80.803269999999998</v>
      </c>
      <c r="E1155" s="1">
        <v>43497</v>
      </c>
    </row>
    <row r="1156" spans="1:5" x14ac:dyDescent="0.25">
      <c r="A1156" t="s">
        <v>12</v>
      </c>
      <c r="B1156" t="s">
        <v>11</v>
      </c>
      <c r="C1156">
        <v>81.72</v>
      </c>
      <c r="D1156">
        <v>79.805139999999994</v>
      </c>
      <c r="E1156" s="1">
        <v>43525</v>
      </c>
    </row>
    <row r="1157" spans="1:5" x14ac:dyDescent="0.25">
      <c r="A1157" t="s">
        <v>12</v>
      </c>
      <c r="B1157" t="s">
        <v>11</v>
      </c>
      <c r="C1157">
        <v>80.77</v>
      </c>
      <c r="D1157">
        <v>78.554079999999999</v>
      </c>
      <c r="E1157" s="1">
        <v>43556</v>
      </c>
    </row>
    <row r="1158" spans="1:5" x14ac:dyDescent="0.25">
      <c r="A1158" t="s">
        <v>12</v>
      </c>
      <c r="B1158" t="s">
        <v>11</v>
      </c>
      <c r="C1158">
        <v>81.180000000000007</v>
      </c>
      <c r="D1158">
        <v>81.825599999999994</v>
      </c>
      <c r="E1158" s="1">
        <v>43586</v>
      </c>
    </row>
    <row r="1159" spans="1:5" x14ac:dyDescent="0.25">
      <c r="A1159" t="s">
        <v>12</v>
      </c>
      <c r="B1159" t="s">
        <v>11</v>
      </c>
      <c r="C1159">
        <v>81.98</v>
      </c>
      <c r="D1159">
        <v>79.834180000000003</v>
      </c>
      <c r="E1159" s="1">
        <v>43617</v>
      </c>
    </row>
    <row r="1160" spans="1:5" x14ac:dyDescent="0.25">
      <c r="A1160" t="s">
        <v>12</v>
      </c>
      <c r="B1160" t="s">
        <v>11</v>
      </c>
      <c r="C1160">
        <v>83.51</v>
      </c>
      <c r="D1160">
        <v>84.495189999999994</v>
      </c>
      <c r="E1160" s="1">
        <v>43647</v>
      </c>
    </row>
    <row r="1161" spans="1:5" x14ac:dyDescent="0.25">
      <c r="A1161" t="s">
        <v>12</v>
      </c>
      <c r="B1161" t="s">
        <v>11</v>
      </c>
      <c r="C1161">
        <v>85.36</v>
      </c>
      <c r="D1161">
        <v>86.317850000000007</v>
      </c>
      <c r="E1161" s="1">
        <v>43678</v>
      </c>
    </row>
    <row r="1162" spans="1:5" x14ac:dyDescent="0.25">
      <c r="A1162" t="s">
        <v>12</v>
      </c>
      <c r="B1162" t="s">
        <v>11</v>
      </c>
      <c r="C1162">
        <v>85.69</v>
      </c>
      <c r="D1162">
        <v>85.30104</v>
      </c>
      <c r="E1162" s="1">
        <v>43709</v>
      </c>
    </row>
    <row r="1163" spans="1:5" x14ac:dyDescent="0.25">
      <c r="A1163" t="s">
        <v>12</v>
      </c>
      <c r="B1163" t="s">
        <v>11</v>
      </c>
      <c r="C1163">
        <v>85.02</v>
      </c>
      <c r="D1163">
        <v>86.020219999999995</v>
      </c>
      <c r="E1163" s="1">
        <v>43739</v>
      </c>
    </row>
    <row r="1164" spans="1:5" x14ac:dyDescent="0.25">
      <c r="A1164" t="s">
        <v>12</v>
      </c>
      <c r="B1164" t="s">
        <v>11</v>
      </c>
      <c r="C1164">
        <v>86.05</v>
      </c>
      <c r="D1164">
        <v>83.316609999999997</v>
      </c>
      <c r="E1164" s="1">
        <v>43770</v>
      </c>
    </row>
    <row r="1165" spans="1:5" x14ac:dyDescent="0.25">
      <c r="A1165" t="s">
        <v>12</v>
      </c>
      <c r="B1165" t="s">
        <v>11</v>
      </c>
      <c r="C1165">
        <v>92.39</v>
      </c>
      <c r="D1165">
        <v>100.98831</v>
      </c>
      <c r="E1165" s="1">
        <v>43800</v>
      </c>
    </row>
    <row r="1166" spans="1:5" x14ac:dyDescent="0.25">
      <c r="A1166" t="s">
        <v>12</v>
      </c>
      <c r="B1166" t="s">
        <v>11</v>
      </c>
      <c r="C1166">
        <v>96.78</v>
      </c>
      <c r="D1166">
        <v>96.085539999999995</v>
      </c>
      <c r="E1166" s="1">
        <v>43831</v>
      </c>
    </row>
    <row r="1167" spans="1:5" x14ac:dyDescent="0.25">
      <c r="A1167" t="s">
        <v>12</v>
      </c>
      <c r="B1167" t="s">
        <v>11</v>
      </c>
      <c r="C1167">
        <v>93.62</v>
      </c>
      <c r="D1167">
        <v>90.694969999999998</v>
      </c>
      <c r="E1167" s="1">
        <v>43862</v>
      </c>
    </row>
    <row r="1168" spans="1:5" x14ac:dyDescent="0.25">
      <c r="A1168" t="s">
        <v>12</v>
      </c>
      <c r="B1168" t="s">
        <v>11</v>
      </c>
      <c r="C1168">
        <v>97.65</v>
      </c>
      <c r="D1168">
        <v>99.739540000000005</v>
      </c>
      <c r="E1168" s="1">
        <v>43891</v>
      </c>
    </row>
    <row r="1169" spans="1:5" x14ac:dyDescent="0.25">
      <c r="A1169" t="s">
        <v>12</v>
      </c>
      <c r="B1169" t="s">
        <v>11</v>
      </c>
      <c r="C1169">
        <v>91.35</v>
      </c>
      <c r="D1169">
        <v>88.057460000000006</v>
      </c>
      <c r="E1169" s="1">
        <v>43922</v>
      </c>
    </row>
    <row r="1170" spans="1:5" x14ac:dyDescent="0.25">
      <c r="A1170" t="s">
        <v>12</v>
      </c>
      <c r="B1170" t="s">
        <v>11</v>
      </c>
      <c r="C1170">
        <v>84.35</v>
      </c>
      <c r="D1170">
        <v>83.798280000000005</v>
      </c>
      <c r="E1170" s="1">
        <v>43952</v>
      </c>
    </row>
    <row r="1171" spans="1:5" x14ac:dyDescent="0.25">
      <c r="A1171" t="s">
        <v>12</v>
      </c>
      <c r="B1171" t="s">
        <v>11</v>
      </c>
      <c r="C1171">
        <v>92.36</v>
      </c>
      <c r="D1171">
        <v>91.652060000000006</v>
      </c>
      <c r="E1171" s="1">
        <v>43983</v>
      </c>
    </row>
    <row r="1172" spans="1:5" x14ac:dyDescent="0.25">
      <c r="A1172" t="s">
        <v>12</v>
      </c>
      <c r="B1172" t="s">
        <v>11</v>
      </c>
      <c r="C1172">
        <v>94.47</v>
      </c>
      <c r="D1172">
        <v>95.158609999999996</v>
      </c>
      <c r="E1172" s="1">
        <v>44013</v>
      </c>
    </row>
    <row r="1173" spans="1:5" x14ac:dyDescent="0.25">
      <c r="A1173" t="s">
        <v>12</v>
      </c>
      <c r="B1173" t="s">
        <v>11</v>
      </c>
      <c r="C1173">
        <v>97.1</v>
      </c>
      <c r="D1173">
        <v>99.265680000000003</v>
      </c>
      <c r="E1173" s="1">
        <v>44044</v>
      </c>
    </row>
    <row r="1174" spans="1:5" x14ac:dyDescent="0.25">
      <c r="A1174" t="s">
        <v>12</v>
      </c>
      <c r="B1174" t="s">
        <v>11</v>
      </c>
      <c r="C1174">
        <v>105.79</v>
      </c>
      <c r="D1174">
        <v>108.00378000000001</v>
      </c>
      <c r="E1174" s="1">
        <v>44075</v>
      </c>
    </row>
    <row r="1175" spans="1:5" x14ac:dyDescent="0.25">
      <c r="A1175" t="s">
        <v>12</v>
      </c>
      <c r="B1175" t="s">
        <v>11</v>
      </c>
      <c r="C1175">
        <v>100.31</v>
      </c>
      <c r="D1175">
        <v>98.260350000000003</v>
      </c>
      <c r="E1175" s="1">
        <v>44105</v>
      </c>
    </row>
    <row r="1176" spans="1:5" x14ac:dyDescent="0.25">
      <c r="A1176" t="s">
        <v>12</v>
      </c>
      <c r="B1176" t="s">
        <v>11</v>
      </c>
      <c r="C1176">
        <v>99.76</v>
      </c>
      <c r="D1176">
        <v>96.621560000000002</v>
      </c>
      <c r="E1176" s="1">
        <v>44136</v>
      </c>
    </row>
    <row r="1177" spans="1:5" x14ac:dyDescent="0.25">
      <c r="A1177" t="s">
        <v>12</v>
      </c>
      <c r="B1177" t="s">
        <v>11</v>
      </c>
      <c r="C1177">
        <v>100.4</v>
      </c>
      <c r="D1177">
        <v>110.79907</v>
      </c>
      <c r="E1177" s="1">
        <v>44166</v>
      </c>
    </row>
    <row r="1178" spans="1:5" x14ac:dyDescent="0.25">
      <c r="A1178" t="s">
        <v>12</v>
      </c>
      <c r="B1178" t="s">
        <v>11</v>
      </c>
      <c r="C1178">
        <v>97</v>
      </c>
      <c r="D1178">
        <v>94.448580000000007</v>
      </c>
      <c r="E1178" s="1">
        <v>44197</v>
      </c>
    </row>
    <row r="1179" spans="1:5" x14ac:dyDescent="0.25">
      <c r="A1179" t="s">
        <v>12</v>
      </c>
      <c r="B1179" t="s">
        <v>11</v>
      </c>
      <c r="C1179">
        <v>99.54</v>
      </c>
      <c r="D1179">
        <v>93.90737</v>
      </c>
      <c r="E1179" s="1">
        <v>44228</v>
      </c>
    </row>
    <row r="1180" spans="1:5" x14ac:dyDescent="0.25">
      <c r="A1180" t="s">
        <v>12</v>
      </c>
      <c r="B1180" t="s">
        <v>11</v>
      </c>
      <c r="C1180">
        <v>100.96</v>
      </c>
      <c r="D1180">
        <v>104.45796</v>
      </c>
      <c r="E1180" s="1">
        <v>44256</v>
      </c>
    </row>
    <row r="1181" spans="1:5" x14ac:dyDescent="0.25">
      <c r="A1181" t="s">
        <v>12</v>
      </c>
      <c r="B1181" t="s">
        <v>11</v>
      </c>
      <c r="C1181">
        <v>103.66</v>
      </c>
      <c r="D1181">
        <v>98.660960000000003</v>
      </c>
      <c r="E1181" s="1">
        <v>44287</v>
      </c>
    </row>
    <row r="1182" spans="1:5" x14ac:dyDescent="0.25">
      <c r="A1182" t="s">
        <v>12</v>
      </c>
      <c r="B1182" t="s">
        <v>11</v>
      </c>
      <c r="C1182">
        <v>101.57</v>
      </c>
      <c r="D1182">
        <v>100.03025</v>
      </c>
      <c r="E1182" s="1">
        <v>44317</v>
      </c>
    </row>
    <row r="1183" spans="1:5" x14ac:dyDescent="0.25">
      <c r="A1183" t="s">
        <v>12</v>
      </c>
      <c r="B1183" t="s">
        <v>11</v>
      </c>
      <c r="C1183">
        <v>100.15</v>
      </c>
      <c r="D1183">
        <v>101.51955</v>
      </c>
      <c r="E1183" s="1">
        <v>44348</v>
      </c>
    </row>
    <row r="1184" spans="1:5" x14ac:dyDescent="0.25">
      <c r="A1184" t="s">
        <v>12</v>
      </c>
      <c r="B1184" t="s">
        <v>11</v>
      </c>
      <c r="C1184">
        <v>110.34</v>
      </c>
      <c r="D1184">
        <v>108.79747</v>
      </c>
      <c r="E1184" s="1">
        <v>44378</v>
      </c>
    </row>
    <row r="1185" spans="1:5" x14ac:dyDescent="0.25">
      <c r="A1185" t="s">
        <v>12</v>
      </c>
      <c r="B1185" t="s">
        <v>11</v>
      </c>
      <c r="C1185">
        <v>105.47</v>
      </c>
      <c r="D1185">
        <v>110.71642</v>
      </c>
      <c r="E1185" s="1">
        <v>44409</v>
      </c>
    </row>
    <row r="1186" spans="1:5" x14ac:dyDescent="0.25">
      <c r="A1186" t="s">
        <v>12</v>
      </c>
      <c r="B1186" t="s">
        <v>11</v>
      </c>
      <c r="C1186">
        <v>98.55</v>
      </c>
      <c r="D1186">
        <v>98.330430000000007</v>
      </c>
      <c r="E1186" s="1">
        <v>44440</v>
      </c>
    </row>
    <row r="1187" spans="1:5" x14ac:dyDescent="0.25">
      <c r="A1187" t="s">
        <v>12</v>
      </c>
      <c r="B1187" t="s">
        <v>11</v>
      </c>
      <c r="C1187">
        <v>95.4</v>
      </c>
      <c r="D1187">
        <v>94.133139999999997</v>
      </c>
      <c r="E1187" s="1">
        <v>44470</v>
      </c>
    </row>
    <row r="1188" spans="1:5" x14ac:dyDescent="0.25">
      <c r="A1188" t="s">
        <v>12</v>
      </c>
      <c r="B1188" t="s">
        <v>11</v>
      </c>
      <c r="C1188">
        <v>95.28</v>
      </c>
      <c r="D1188">
        <v>93.852639999999994</v>
      </c>
      <c r="E1188" s="1">
        <v>44501</v>
      </c>
    </row>
    <row r="1189" spans="1:5" x14ac:dyDescent="0.25">
      <c r="A1189" t="s">
        <v>12</v>
      </c>
      <c r="B1189" t="s">
        <v>11</v>
      </c>
      <c r="C1189">
        <v>95.58</v>
      </c>
      <c r="D1189">
        <v>105.06393</v>
      </c>
      <c r="E1189" s="1">
        <v>44531</v>
      </c>
    </row>
    <row r="1190" spans="1:5" x14ac:dyDescent="0.25">
      <c r="A1190" t="s">
        <v>12</v>
      </c>
      <c r="B1190" t="s">
        <v>11</v>
      </c>
      <c r="C1190">
        <v>103.8</v>
      </c>
      <c r="D1190">
        <v>99.354079999999996</v>
      </c>
      <c r="E1190" s="1">
        <v>44562</v>
      </c>
    </row>
    <row r="1191" spans="1:5" x14ac:dyDescent="0.25">
      <c r="A1191" t="s">
        <v>12</v>
      </c>
      <c r="B1191" t="s">
        <v>11</v>
      </c>
      <c r="C1191">
        <v>96.96</v>
      </c>
      <c r="D1191">
        <v>91.305059999999997</v>
      </c>
      <c r="E1191" s="1">
        <v>44593</v>
      </c>
    </row>
    <row r="1192" spans="1:5" x14ac:dyDescent="0.25">
      <c r="A1192" t="s">
        <v>12</v>
      </c>
      <c r="B1192" t="s">
        <v>11</v>
      </c>
      <c r="C1192">
        <v>96.27</v>
      </c>
      <c r="D1192">
        <v>98.514420000000001</v>
      </c>
      <c r="E1192" s="1">
        <v>44621</v>
      </c>
    </row>
    <row r="1193" spans="1:5" x14ac:dyDescent="0.25">
      <c r="A1193" t="s">
        <v>12</v>
      </c>
      <c r="B1193" t="s">
        <v>11</v>
      </c>
      <c r="C1193">
        <v>94.36</v>
      </c>
      <c r="D1193">
        <v>89.639880000000005</v>
      </c>
      <c r="E1193" s="1">
        <v>44652</v>
      </c>
    </row>
    <row r="1194" spans="1:5" x14ac:dyDescent="0.25">
      <c r="A1194" t="s">
        <v>12</v>
      </c>
      <c r="B1194" t="s">
        <v>11</v>
      </c>
      <c r="C1194">
        <v>97.8</v>
      </c>
      <c r="D1194">
        <v>98.546149999999997</v>
      </c>
      <c r="E1194" s="1">
        <v>44682</v>
      </c>
    </row>
    <row r="1195" spans="1:5" x14ac:dyDescent="0.25">
      <c r="A1195" t="s">
        <v>12</v>
      </c>
      <c r="B1195" t="s">
        <v>11</v>
      </c>
      <c r="C1195">
        <v>97.09</v>
      </c>
      <c r="D1195">
        <v>96.768320000000003</v>
      </c>
      <c r="E1195" s="1">
        <v>44713</v>
      </c>
    </row>
    <row r="1196" spans="1:5" x14ac:dyDescent="0.25">
      <c r="A1196" t="s">
        <v>12</v>
      </c>
      <c r="B1196" t="s">
        <v>11</v>
      </c>
      <c r="C1196">
        <v>92.38</v>
      </c>
      <c r="D1196">
        <v>92.322370000000006</v>
      </c>
      <c r="E1196" s="1">
        <v>44743</v>
      </c>
    </row>
    <row r="1197" spans="1:5" x14ac:dyDescent="0.25">
      <c r="A1197" t="s">
        <v>12</v>
      </c>
      <c r="B1197" t="s">
        <v>11</v>
      </c>
      <c r="C1197">
        <v>105.04</v>
      </c>
      <c r="D1197">
        <v>112.52891</v>
      </c>
      <c r="E1197" s="1">
        <v>44774</v>
      </c>
    </row>
    <row r="1198" spans="1:5" x14ac:dyDescent="0.25">
      <c r="A1198" t="s">
        <v>12</v>
      </c>
      <c r="B1198" t="s">
        <v>11</v>
      </c>
      <c r="C1198">
        <v>100.42</v>
      </c>
      <c r="D1198">
        <v>99.008570000000006</v>
      </c>
      <c r="E1198" s="1">
        <v>44805</v>
      </c>
    </row>
    <row r="1199" spans="1:5" x14ac:dyDescent="0.25">
      <c r="A1199" t="s">
        <v>12</v>
      </c>
      <c r="B1199" t="s">
        <v>11</v>
      </c>
      <c r="C1199">
        <v>101.43</v>
      </c>
      <c r="D1199">
        <v>98.707560000000001</v>
      </c>
      <c r="E1199" s="1">
        <v>44835</v>
      </c>
    </row>
    <row r="1200" spans="1:5" x14ac:dyDescent="0.25">
      <c r="A1200" t="s">
        <v>12</v>
      </c>
      <c r="B1200" t="s">
        <v>11</v>
      </c>
      <c r="C1200">
        <v>100.04</v>
      </c>
      <c r="D1200">
        <v>100.91063</v>
      </c>
      <c r="E1200" s="1">
        <v>44866</v>
      </c>
    </row>
    <row r="1201" spans="1:5" x14ac:dyDescent="0.25">
      <c r="A1201" t="s">
        <v>12</v>
      </c>
      <c r="B1201" t="s">
        <v>11</v>
      </c>
      <c r="C1201">
        <v>114.4</v>
      </c>
      <c r="D1201">
        <v>122.39406</v>
      </c>
      <c r="E1201" s="1">
        <v>44896</v>
      </c>
    </row>
    <row r="1202" spans="1:5" x14ac:dyDescent="0.25">
      <c r="A1202" t="s">
        <v>12</v>
      </c>
      <c r="B1202" t="s">
        <v>11</v>
      </c>
      <c r="C1202">
        <v>96.71</v>
      </c>
      <c r="D1202">
        <v>93.88306</v>
      </c>
      <c r="E1202" s="1">
        <v>44927</v>
      </c>
    </row>
    <row r="1203" spans="1:5" x14ac:dyDescent="0.25">
      <c r="A1203" t="s">
        <v>12</v>
      </c>
      <c r="B1203" t="s">
        <v>11</v>
      </c>
      <c r="C1203">
        <v>96.31</v>
      </c>
      <c r="D1203">
        <v>90.661829999999995</v>
      </c>
      <c r="E1203" s="1">
        <v>44958</v>
      </c>
    </row>
    <row r="1204" spans="1:5" x14ac:dyDescent="0.25">
      <c r="A1204" t="s">
        <v>12</v>
      </c>
      <c r="B1204" t="s">
        <v>11</v>
      </c>
      <c r="C1204">
        <v>96.43</v>
      </c>
      <c r="D1204">
        <v>98.60463</v>
      </c>
      <c r="E1204" s="1">
        <v>44986</v>
      </c>
    </row>
    <row r="1205" spans="1:5" x14ac:dyDescent="0.25">
      <c r="A1205" t="s">
        <v>12</v>
      </c>
      <c r="B1205" t="s">
        <v>11</v>
      </c>
      <c r="C1205">
        <v>95.69</v>
      </c>
      <c r="D1205">
        <v>89.901989999999998</v>
      </c>
      <c r="E1205" s="1">
        <v>45017</v>
      </c>
    </row>
    <row r="1206" spans="1:5" x14ac:dyDescent="0.25">
      <c r="A1206" t="s">
        <v>12</v>
      </c>
      <c r="B1206" t="s">
        <v>11</v>
      </c>
      <c r="C1206">
        <v>95.59</v>
      </c>
      <c r="D1206">
        <v>98.438379999999995</v>
      </c>
      <c r="E1206" s="1">
        <v>45047</v>
      </c>
    </row>
    <row r="1207" spans="1:5" x14ac:dyDescent="0.25">
      <c r="A1207" t="s">
        <v>12</v>
      </c>
      <c r="B1207" t="s">
        <v>11</v>
      </c>
      <c r="C1207">
        <v>97.37</v>
      </c>
      <c r="D1207">
        <v>96.433520000000001</v>
      </c>
      <c r="E1207" s="1">
        <v>45078</v>
      </c>
    </row>
    <row r="1208" spans="1:5" x14ac:dyDescent="0.25">
      <c r="A1208" t="s">
        <v>12</v>
      </c>
      <c r="B1208" t="s">
        <v>11</v>
      </c>
      <c r="C1208">
        <v>98.04</v>
      </c>
      <c r="D1208">
        <v>96.901809999999998</v>
      </c>
      <c r="E1208" s="1">
        <v>45108</v>
      </c>
    </row>
    <row r="1209" spans="1:5" x14ac:dyDescent="0.25">
      <c r="A1209" t="s">
        <v>12</v>
      </c>
      <c r="B1209" t="s">
        <v>11</v>
      </c>
      <c r="C1209">
        <v>93.94</v>
      </c>
      <c r="D1209">
        <v>99.741349999999997</v>
      </c>
      <c r="E1209" s="1">
        <v>45139</v>
      </c>
    </row>
    <row r="1210" spans="1:5" x14ac:dyDescent="0.25">
      <c r="A1210" t="s">
        <v>12</v>
      </c>
      <c r="B1210" t="s">
        <v>11</v>
      </c>
      <c r="C1210">
        <v>94.11</v>
      </c>
      <c r="D1210">
        <v>92.720060000000004</v>
      </c>
      <c r="E1210" s="1">
        <v>45170</v>
      </c>
    </row>
    <row r="1211" spans="1:5" x14ac:dyDescent="0.25">
      <c r="A1211" t="s">
        <v>12</v>
      </c>
      <c r="B1211" t="s">
        <v>11</v>
      </c>
      <c r="C1211">
        <v>96.5</v>
      </c>
      <c r="D1211">
        <v>95.530690000000007</v>
      </c>
      <c r="E1211" s="1">
        <v>45200</v>
      </c>
    </row>
    <row r="1212" spans="1:5" x14ac:dyDescent="0.25">
      <c r="A1212" t="s">
        <v>12</v>
      </c>
      <c r="B1212" t="s">
        <v>11</v>
      </c>
      <c r="C1212">
        <v>99.53</v>
      </c>
      <c r="D1212">
        <v>99.015349999999998</v>
      </c>
      <c r="E1212" s="1">
        <v>45231</v>
      </c>
    </row>
    <row r="1213" spans="1:5" x14ac:dyDescent="0.25">
      <c r="A1213" t="s">
        <v>12</v>
      </c>
      <c r="B1213" t="s">
        <v>11</v>
      </c>
      <c r="C1213">
        <v>100.31</v>
      </c>
      <c r="D1213">
        <v>107.93715</v>
      </c>
      <c r="E1213" s="1">
        <v>45261</v>
      </c>
    </row>
    <row r="1214" spans="1:5" x14ac:dyDescent="0.25">
      <c r="A1214" t="s">
        <v>12</v>
      </c>
      <c r="B1214" t="s">
        <v>11</v>
      </c>
      <c r="C1214">
        <v>97.31</v>
      </c>
      <c r="D1214">
        <v>95.964510000000004</v>
      </c>
      <c r="E1214" s="1">
        <v>45292</v>
      </c>
    </row>
    <row r="1215" spans="1:5" x14ac:dyDescent="0.25">
      <c r="A1215" t="s">
        <v>12</v>
      </c>
      <c r="B1215" t="s">
        <v>11</v>
      </c>
      <c r="C1215">
        <v>97.08</v>
      </c>
      <c r="D1215">
        <v>93.5398</v>
      </c>
      <c r="E1215" s="1">
        <v>45323</v>
      </c>
    </row>
    <row r="1216" spans="1:5" x14ac:dyDescent="0.25">
      <c r="A1216" t="s">
        <v>12</v>
      </c>
      <c r="B1216" t="s">
        <v>11</v>
      </c>
      <c r="C1216">
        <v>97.84</v>
      </c>
      <c r="D1216">
        <v>95.612970000000004</v>
      </c>
      <c r="E1216" s="1">
        <v>45352</v>
      </c>
    </row>
    <row r="1217" spans="1:5" x14ac:dyDescent="0.25">
      <c r="A1217" t="s">
        <v>12</v>
      </c>
      <c r="B1217" t="s">
        <v>11</v>
      </c>
      <c r="C1217">
        <v>98</v>
      </c>
      <c r="D1217">
        <v>96.465779999999995</v>
      </c>
      <c r="E1217" s="1">
        <v>45383</v>
      </c>
    </row>
    <row r="1218" spans="1:5" x14ac:dyDescent="0.25">
      <c r="A1218" t="s">
        <v>12</v>
      </c>
      <c r="B1218" t="s">
        <v>11</v>
      </c>
      <c r="C1218">
        <v>96.74</v>
      </c>
      <c r="D1218">
        <v>98.182749999999999</v>
      </c>
      <c r="E1218" s="1">
        <v>45413</v>
      </c>
    </row>
    <row r="1219" spans="1:5" x14ac:dyDescent="0.25">
      <c r="A1219" t="s">
        <v>12</v>
      </c>
      <c r="B1219" t="s">
        <v>11</v>
      </c>
      <c r="C1219">
        <v>96.28</v>
      </c>
      <c r="D1219">
        <v>95.743579999999994</v>
      </c>
      <c r="E1219" s="1">
        <v>45444</v>
      </c>
    </row>
    <row r="1220" spans="1:5" x14ac:dyDescent="0.25">
      <c r="A1220" t="s">
        <v>12</v>
      </c>
      <c r="B1220" t="s">
        <v>11</v>
      </c>
      <c r="C1220">
        <v>95.04</v>
      </c>
      <c r="D1220">
        <v>97.107010000000002</v>
      </c>
      <c r="E1220" s="1">
        <v>45474</v>
      </c>
    </row>
    <row r="1221" spans="1:5" x14ac:dyDescent="0.25">
      <c r="A1221" t="s">
        <v>12</v>
      </c>
      <c r="B1221" t="s">
        <v>11</v>
      </c>
      <c r="C1221">
        <v>97.95</v>
      </c>
      <c r="D1221">
        <v>101.11117</v>
      </c>
      <c r="E1221" s="1">
        <v>45505</v>
      </c>
    </row>
    <row r="1222" spans="1:5" x14ac:dyDescent="0.25">
      <c r="A1222" t="s">
        <v>12</v>
      </c>
      <c r="B1222" t="s">
        <v>11</v>
      </c>
      <c r="C1222">
        <v>96.08</v>
      </c>
      <c r="D1222">
        <v>94.250799999999998</v>
      </c>
      <c r="E1222" s="1">
        <v>45536</v>
      </c>
    </row>
    <row r="1223" spans="1:5" x14ac:dyDescent="0.25">
      <c r="A1223" t="s">
        <v>12</v>
      </c>
      <c r="B1223" t="s">
        <v>11</v>
      </c>
      <c r="C1223">
        <v>94.65</v>
      </c>
      <c r="D1223">
        <v>94.227699999999999</v>
      </c>
      <c r="E1223" s="1">
        <v>45566</v>
      </c>
    </row>
    <row r="1224" spans="1:5" x14ac:dyDescent="0.25">
      <c r="A1224" t="s">
        <v>12</v>
      </c>
      <c r="B1224" t="s">
        <v>11</v>
      </c>
      <c r="C1224">
        <v>95.38</v>
      </c>
      <c r="D1224">
        <v>94.629909999999995</v>
      </c>
      <c r="E1224" s="1">
        <v>45597</v>
      </c>
    </row>
    <row r="1225" spans="1:5" x14ac:dyDescent="0.25">
      <c r="A1225" t="s">
        <v>12</v>
      </c>
      <c r="B1225" t="s">
        <v>11</v>
      </c>
      <c r="C1225">
        <v>93.55</v>
      </c>
      <c r="D1225">
        <v>101.34941000000001</v>
      </c>
      <c r="E1225" s="1">
        <v>45627</v>
      </c>
    </row>
    <row r="1226" spans="1:5" x14ac:dyDescent="0.25">
      <c r="A1226" t="s">
        <v>12</v>
      </c>
      <c r="B1226" t="s">
        <v>11</v>
      </c>
      <c r="C1226">
        <v>96.02</v>
      </c>
      <c r="D1226">
        <v>93.921300000000002</v>
      </c>
      <c r="E1226" s="1">
        <v>45658</v>
      </c>
    </row>
    <row r="1227" spans="1:5" x14ac:dyDescent="0.25">
      <c r="A1227" t="s">
        <v>12</v>
      </c>
      <c r="B1227" t="s">
        <v>11</v>
      </c>
      <c r="C1227">
        <v>96.94</v>
      </c>
      <c r="D1227">
        <v>94.146079999999998</v>
      </c>
      <c r="E1227" s="1">
        <v>45689</v>
      </c>
    </row>
    <row r="1228" spans="1:5" x14ac:dyDescent="0.25">
      <c r="A1228" t="s">
        <v>12</v>
      </c>
      <c r="B1228" t="s">
        <v>11</v>
      </c>
      <c r="C1228">
        <v>95.73</v>
      </c>
      <c r="D1228">
        <v>92.93374</v>
      </c>
      <c r="E1228" s="1">
        <v>45717</v>
      </c>
    </row>
    <row r="1229" spans="1:5" x14ac:dyDescent="0.25">
      <c r="A1229" t="s">
        <v>12</v>
      </c>
      <c r="B1229" t="s">
        <v>11</v>
      </c>
      <c r="C1229">
        <v>95.13</v>
      </c>
      <c r="D1229">
        <v>92.272890000000004</v>
      </c>
      <c r="E1229" s="1">
        <v>45748</v>
      </c>
    </row>
    <row r="1230" spans="1:5" x14ac:dyDescent="0.25">
      <c r="A1230" t="s">
        <v>12</v>
      </c>
      <c r="B1230" t="s">
        <v>11</v>
      </c>
      <c r="C1230">
        <v>96.98</v>
      </c>
      <c r="D1230">
        <v>97.084220000000002</v>
      </c>
      <c r="E1230" s="1">
        <v>45778</v>
      </c>
    </row>
    <row r="1231" spans="1:5" x14ac:dyDescent="0.25">
      <c r="A1231" t="s">
        <v>12</v>
      </c>
      <c r="B1231" t="s">
        <v>11</v>
      </c>
      <c r="C1231">
        <v>95.28</v>
      </c>
      <c r="D1231">
        <v>94.578239999999994</v>
      </c>
      <c r="E1231" s="1">
        <v>45809</v>
      </c>
    </row>
    <row r="1232" spans="1:5" x14ac:dyDescent="0.25">
      <c r="A1232" t="s">
        <v>12</v>
      </c>
      <c r="B1232" t="s">
        <v>11</v>
      </c>
      <c r="C1232">
        <v>94.92</v>
      </c>
      <c r="D1232">
        <v>95.923540000000003</v>
      </c>
      <c r="E1232" s="1">
        <v>45839</v>
      </c>
    </row>
    <row r="1233" spans="1:5" x14ac:dyDescent="0.25">
      <c r="A1233" t="s">
        <v>12</v>
      </c>
      <c r="B1233" t="s">
        <v>11</v>
      </c>
      <c r="C1233">
        <v>93.73</v>
      </c>
      <c r="D1233">
        <v>97.670670000000001</v>
      </c>
      <c r="E1233" s="1">
        <v>45870</v>
      </c>
    </row>
    <row r="1234" spans="1:5" x14ac:dyDescent="0.25">
      <c r="A1234" t="s">
        <v>12</v>
      </c>
      <c r="B1234" t="s">
        <v>10</v>
      </c>
      <c r="C1234">
        <v>78.510000000000005</v>
      </c>
      <c r="D1234">
        <v>70.60351</v>
      </c>
      <c r="E1234" s="1">
        <v>40544</v>
      </c>
    </row>
    <row r="1235" spans="1:5" x14ac:dyDescent="0.25">
      <c r="A1235" t="s">
        <v>12</v>
      </c>
      <c r="B1235" t="s">
        <v>10</v>
      </c>
      <c r="C1235">
        <v>80.31</v>
      </c>
      <c r="D1235">
        <v>72.710589999999996</v>
      </c>
      <c r="E1235" s="1">
        <v>40575</v>
      </c>
    </row>
    <row r="1236" spans="1:5" x14ac:dyDescent="0.25">
      <c r="A1236" t="s">
        <v>12</v>
      </c>
      <c r="B1236" t="s">
        <v>10</v>
      </c>
      <c r="C1236">
        <v>79.569999999999993</v>
      </c>
      <c r="D1236">
        <v>76.732780000000005</v>
      </c>
      <c r="E1236" s="1">
        <v>40603</v>
      </c>
    </row>
    <row r="1237" spans="1:5" x14ac:dyDescent="0.25">
      <c r="A1237" t="s">
        <v>12</v>
      </c>
      <c r="B1237" t="s">
        <v>10</v>
      </c>
      <c r="C1237">
        <v>80.53</v>
      </c>
      <c r="D1237">
        <v>77.509060000000005</v>
      </c>
      <c r="E1237" s="1">
        <v>40634</v>
      </c>
    </row>
    <row r="1238" spans="1:5" x14ac:dyDescent="0.25">
      <c r="A1238" t="s">
        <v>12</v>
      </c>
      <c r="B1238" t="s">
        <v>10</v>
      </c>
      <c r="C1238">
        <v>83</v>
      </c>
      <c r="D1238">
        <v>84.189790000000002</v>
      </c>
      <c r="E1238" s="1">
        <v>40664</v>
      </c>
    </row>
    <row r="1239" spans="1:5" x14ac:dyDescent="0.25">
      <c r="A1239" t="s">
        <v>12</v>
      </c>
      <c r="B1239" t="s">
        <v>10</v>
      </c>
      <c r="C1239">
        <v>83.69</v>
      </c>
      <c r="D1239">
        <v>83.040769999999995</v>
      </c>
      <c r="E1239" s="1">
        <v>40695</v>
      </c>
    </row>
    <row r="1240" spans="1:5" x14ac:dyDescent="0.25">
      <c r="A1240" t="s">
        <v>12</v>
      </c>
      <c r="B1240" t="s">
        <v>10</v>
      </c>
      <c r="C1240">
        <v>85.16</v>
      </c>
      <c r="D1240">
        <v>85.631360000000001</v>
      </c>
      <c r="E1240" s="1">
        <v>40725</v>
      </c>
    </row>
    <row r="1241" spans="1:5" x14ac:dyDescent="0.25">
      <c r="A1241" t="s">
        <v>12</v>
      </c>
      <c r="B1241" t="s">
        <v>10</v>
      </c>
      <c r="C1241">
        <v>81.23</v>
      </c>
      <c r="D1241">
        <v>87.206440000000001</v>
      </c>
      <c r="E1241" s="1">
        <v>40756</v>
      </c>
    </row>
    <row r="1242" spans="1:5" x14ac:dyDescent="0.25">
      <c r="A1242" t="s">
        <v>12</v>
      </c>
      <c r="B1242" t="s">
        <v>10</v>
      </c>
      <c r="C1242">
        <v>79.55</v>
      </c>
      <c r="D1242">
        <v>83.432040000000001</v>
      </c>
      <c r="E1242" s="1">
        <v>40787</v>
      </c>
    </row>
    <row r="1243" spans="1:5" x14ac:dyDescent="0.25">
      <c r="A1243" t="s">
        <v>12</v>
      </c>
      <c r="B1243" t="s">
        <v>10</v>
      </c>
      <c r="C1243">
        <v>79.569999999999993</v>
      </c>
      <c r="D1243">
        <v>84.029219999999995</v>
      </c>
      <c r="E1243" s="1">
        <v>40817</v>
      </c>
    </row>
    <row r="1244" spans="1:5" x14ac:dyDescent="0.25">
      <c r="A1244" t="s">
        <v>12</v>
      </c>
      <c r="B1244" t="s">
        <v>10</v>
      </c>
      <c r="C1244">
        <v>79.78</v>
      </c>
      <c r="D1244">
        <v>82.691559999999996</v>
      </c>
      <c r="E1244" s="1">
        <v>40848</v>
      </c>
    </row>
    <row r="1245" spans="1:5" x14ac:dyDescent="0.25">
      <c r="A1245" t="s">
        <v>12</v>
      </c>
      <c r="B1245" t="s">
        <v>10</v>
      </c>
      <c r="C1245">
        <v>81.52</v>
      </c>
      <c r="D1245">
        <v>83.497429999999994</v>
      </c>
      <c r="E1245" s="1">
        <v>40878</v>
      </c>
    </row>
    <row r="1246" spans="1:5" x14ac:dyDescent="0.25">
      <c r="A1246" t="s">
        <v>12</v>
      </c>
      <c r="B1246" t="s">
        <v>10</v>
      </c>
      <c r="C1246">
        <v>80.760000000000005</v>
      </c>
      <c r="D1246">
        <v>73.536749999999998</v>
      </c>
      <c r="E1246" s="1">
        <v>40909</v>
      </c>
    </row>
    <row r="1247" spans="1:5" x14ac:dyDescent="0.25">
      <c r="A1247" t="s">
        <v>12</v>
      </c>
      <c r="B1247" t="s">
        <v>10</v>
      </c>
      <c r="C1247">
        <v>81.13</v>
      </c>
      <c r="D1247">
        <v>72.407939999999996</v>
      </c>
      <c r="E1247" s="1">
        <v>40940</v>
      </c>
    </row>
    <row r="1248" spans="1:5" x14ac:dyDescent="0.25">
      <c r="A1248" t="s">
        <v>12</v>
      </c>
      <c r="B1248" t="s">
        <v>10</v>
      </c>
      <c r="C1248">
        <v>84.52</v>
      </c>
      <c r="D1248">
        <v>84.967600000000004</v>
      </c>
      <c r="E1248" s="1">
        <v>40969</v>
      </c>
    </row>
    <row r="1249" spans="1:5" x14ac:dyDescent="0.25">
      <c r="A1249" t="s">
        <v>12</v>
      </c>
      <c r="B1249" t="s">
        <v>10</v>
      </c>
      <c r="C1249">
        <v>83.72</v>
      </c>
      <c r="D1249">
        <v>80.010810000000006</v>
      </c>
      <c r="E1249" s="1">
        <v>41000</v>
      </c>
    </row>
    <row r="1250" spans="1:5" x14ac:dyDescent="0.25">
      <c r="A1250" t="s">
        <v>12</v>
      </c>
      <c r="B1250" t="s">
        <v>10</v>
      </c>
      <c r="C1250">
        <v>83.4</v>
      </c>
      <c r="D1250">
        <v>86.207470000000001</v>
      </c>
      <c r="E1250" s="1">
        <v>41030</v>
      </c>
    </row>
    <row r="1251" spans="1:5" x14ac:dyDescent="0.25">
      <c r="A1251" t="s">
        <v>12</v>
      </c>
      <c r="B1251" t="s">
        <v>10</v>
      </c>
      <c r="C1251">
        <v>85.51</v>
      </c>
      <c r="D1251">
        <v>83.771190000000004</v>
      </c>
      <c r="E1251" s="1">
        <v>41061</v>
      </c>
    </row>
    <row r="1252" spans="1:5" x14ac:dyDescent="0.25">
      <c r="A1252" t="s">
        <v>12</v>
      </c>
      <c r="B1252" t="s">
        <v>10</v>
      </c>
      <c r="C1252">
        <v>85.65</v>
      </c>
      <c r="D1252">
        <v>86.909549999999996</v>
      </c>
      <c r="E1252" s="1">
        <v>41091</v>
      </c>
    </row>
    <row r="1253" spans="1:5" x14ac:dyDescent="0.25">
      <c r="A1253" t="s">
        <v>12</v>
      </c>
      <c r="B1253" t="s">
        <v>10</v>
      </c>
      <c r="C1253">
        <v>89.78</v>
      </c>
      <c r="D1253">
        <v>96.355379999999997</v>
      </c>
      <c r="E1253" s="1">
        <v>41122</v>
      </c>
    </row>
    <row r="1254" spans="1:5" x14ac:dyDescent="0.25">
      <c r="A1254" t="s">
        <v>12</v>
      </c>
      <c r="B1254" t="s">
        <v>10</v>
      </c>
      <c r="C1254">
        <v>89.35</v>
      </c>
      <c r="D1254">
        <v>91.538790000000006</v>
      </c>
      <c r="E1254" s="1">
        <v>41153</v>
      </c>
    </row>
    <row r="1255" spans="1:5" x14ac:dyDescent="0.25">
      <c r="A1255" t="s">
        <v>12</v>
      </c>
      <c r="B1255" t="s">
        <v>10</v>
      </c>
      <c r="C1255">
        <v>89.4</v>
      </c>
      <c r="D1255">
        <v>97.057869999999994</v>
      </c>
      <c r="E1255" s="1">
        <v>41183</v>
      </c>
    </row>
    <row r="1256" spans="1:5" x14ac:dyDescent="0.25">
      <c r="A1256" t="s">
        <v>12</v>
      </c>
      <c r="B1256" t="s">
        <v>10</v>
      </c>
      <c r="C1256">
        <v>90.27</v>
      </c>
      <c r="D1256">
        <v>93.008139999999997</v>
      </c>
      <c r="E1256" s="1">
        <v>41214</v>
      </c>
    </row>
    <row r="1257" spans="1:5" x14ac:dyDescent="0.25">
      <c r="A1257" t="s">
        <v>12</v>
      </c>
      <c r="B1257" t="s">
        <v>10</v>
      </c>
      <c r="C1257">
        <v>88.4</v>
      </c>
      <c r="D1257">
        <v>89.172030000000007</v>
      </c>
      <c r="E1257" s="1">
        <v>41244</v>
      </c>
    </row>
    <row r="1258" spans="1:5" x14ac:dyDescent="0.25">
      <c r="A1258" t="s">
        <v>12</v>
      </c>
      <c r="B1258" t="s">
        <v>10</v>
      </c>
      <c r="C1258">
        <v>90.55</v>
      </c>
      <c r="D1258">
        <v>84.143150000000006</v>
      </c>
      <c r="E1258" s="1">
        <v>41275</v>
      </c>
    </row>
    <row r="1259" spans="1:5" x14ac:dyDescent="0.25">
      <c r="A1259" t="s">
        <v>12</v>
      </c>
      <c r="B1259" t="s">
        <v>10</v>
      </c>
      <c r="C1259">
        <v>90.31</v>
      </c>
      <c r="D1259">
        <v>77.529030000000006</v>
      </c>
      <c r="E1259" s="1">
        <v>41306</v>
      </c>
    </row>
    <row r="1260" spans="1:5" x14ac:dyDescent="0.25">
      <c r="A1260" t="s">
        <v>12</v>
      </c>
      <c r="B1260" t="s">
        <v>10</v>
      </c>
      <c r="C1260">
        <v>90.74</v>
      </c>
      <c r="D1260">
        <v>88.072329999999994</v>
      </c>
      <c r="E1260" s="1">
        <v>41334</v>
      </c>
    </row>
    <row r="1261" spans="1:5" x14ac:dyDescent="0.25">
      <c r="A1261" t="s">
        <v>12</v>
      </c>
      <c r="B1261" t="s">
        <v>10</v>
      </c>
      <c r="C1261">
        <v>92.68</v>
      </c>
      <c r="D1261">
        <v>91.910089999999997</v>
      </c>
      <c r="E1261" s="1">
        <v>41365</v>
      </c>
    </row>
    <row r="1262" spans="1:5" x14ac:dyDescent="0.25">
      <c r="A1262" t="s">
        <v>12</v>
      </c>
      <c r="B1262" t="s">
        <v>10</v>
      </c>
      <c r="C1262">
        <v>92.2</v>
      </c>
      <c r="D1262">
        <v>94.225620000000006</v>
      </c>
      <c r="E1262" s="1">
        <v>41395</v>
      </c>
    </row>
    <row r="1263" spans="1:5" x14ac:dyDescent="0.25">
      <c r="A1263" t="s">
        <v>12</v>
      </c>
      <c r="B1263" t="s">
        <v>10</v>
      </c>
      <c r="C1263">
        <v>91.8</v>
      </c>
      <c r="D1263">
        <v>89.352249999999998</v>
      </c>
      <c r="E1263" s="1">
        <v>41426</v>
      </c>
    </row>
    <row r="1264" spans="1:5" x14ac:dyDescent="0.25">
      <c r="A1264" t="s">
        <v>12</v>
      </c>
      <c r="B1264" t="s">
        <v>10</v>
      </c>
      <c r="C1264">
        <v>92.78</v>
      </c>
      <c r="D1264">
        <v>95.754050000000007</v>
      </c>
      <c r="E1264" s="1">
        <v>41456</v>
      </c>
    </row>
    <row r="1265" spans="1:5" x14ac:dyDescent="0.25">
      <c r="A1265" t="s">
        <v>12</v>
      </c>
      <c r="B1265" t="s">
        <v>10</v>
      </c>
      <c r="C1265">
        <v>92.85</v>
      </c>
      <c r="D1265">
        <v>98.412580000000005</v>
      </c>
      <c r="E1265" s="1">
        <v>41487</v>
      </c>
    </row>
    <row r="1266" spans="1:5" x14ac:dyDescent="0.25">
      <c r="A1266" t="s">
        <v>12</v>
      </c>
      <c r="B1266" t="s">
        <v>10</v>
      </c>
      <c r="C1266">
        <v>93.75</v>
      </c>
      <c r="D1266">
        <v>96.796090000000007</v>
      </c>
      <c r="E1266" s="1">
        <v>41518</v>
      </c>
    </row>
    <row r="1267" spans="1:5" x14ac:dyDescent="0.25">
      <c r="A1267" t="s">
        <v>12</v>
      </c>
      <c r="B1267" t="s">
        <v>10</v>
      </c>
      <c r="C1267">
        <v>95.01</v>
      </c>
      <c r="D1267">
        <v>103.21037</v>
      </c>
      <c r="E1267" s="1">
        <v>41548</v>
      </c>
    </row>
    <row r="1268" spans="1:5" x14ac:dyDescent="0.25">
      <c r="A1268" t="s">
        <v>12</v>
      </c>
      <c r="B1268" t="s">
        <v>10</v>
      </c>
      <c r="C1268">
        <v>94.67</v>
      </c>
      <c r="D1268">
        <v>96.511610000000005</v>
      </c>
      <c r="E1268" s="1">
        <v>41579</v>
      </c>
    </row>
    <row r="1269" spans="1:5" x14ac:dyDescent="0.25">
      <c r="A1269" t="s">
        <v>12</v>
      </c>
      <c r="B1269" t="s">
        <v>10</v>
      </c>
      <c r="C1269">
        <v>94.59</v>
      </c>
      <c r="D1269">
        <v>96.482740000000007</v>
      </c>
      <c r="E1269" s="1">
        <v>41609</v>
      </c>
    </row>
    <row r="1270" spans="1:5" x14ac:dyDescent="0.25">
      <c r="A1270" t="s">
        <v>12</v>
      </c>
      <c r="B1270" t="s">
        <v>10</v>
      </c>
      <c r="C1270">
        <v>95.49</v>
      </c>
      <c r="D1270">
        <v>88.815770000000001</v>
      </c>
      <c r="E1270" s="1">
        <v>41640</v>
      </c>
    </row>
    <row r="1271" spans="1:5" x14ac:dyDescent="0.25">
      <c r="A1271" t="s">
        <v>12</v>
      </c>
      <c r="B1271" t="s">
        <v>10</v>
      </c>
      <c r="C1271">
        <v>95.51</v>
      </c>
      <c r="D1271">
        <v>85.819540000000003</v>
      </c>
      <c r="E1271" s="1">
        <v>41671</v>
      </c>
    </row>
    <row r="1272" spans="1:5" x14ac:dyDescent="0.25">
      <c r="A1272" t="s">
        <v>12</v>
      </c>
      <c r="B1272" t="s">
        <v>10</v>
      </c>
      <c r="C1272">
        <v>95.22</v>
      </c>
      <c r="D1272">
        <v>90.347560000000001</v>
      </c>
      <c r="E1272" s="1">
        <v>41699</v>
      </c>
    </row>
    <row r="1273" spans="1:5" x14ac:dyDescent="0.25">
      <c r="A1273" t="s">
        <v>12</v>
      </c>
      <c r="B1273" t="s">
        <v>10</v>
      </c>
      <c r="C1273">
        <v>95.4</v>
      </c>
      <c r="D1273">
        <v>92.860330000000005</v>
      </c>
      <c r="E1273" s="1">
        <v>41730</v>
      </c>
    </row>
    <row r="1274" spans="1:5" x14ac:dyDescent="0.25">
      <c r="A1274" t="s">
        <v>12</v>
      </c>
      <c r="B1274" t="s">
        <v>10</v>
      </c>
      <c r="C1274">
        <v>94.77</v>
      </c>
      <c r="D1274">
        <v>96.675309999999996</v>
      </c>
      <c r="E1274" s="1">
        <v>41760</v>
      </c>
    </row>
    <row r="1275" spans="1:5" x14ac:dyDescent="0.25">
      <c r="A1275" t="s">
        <v>12</v>
      </c>
      <c r="B1275" t="s">
        <v>10</v>
      </c>
      <c r="C1275">
        <v>94.4</v>
      </c>
      <c r="D1275">
        <v>91.65616</v>
      </c>
      <c r="E1275" s="1">
        <v>41791</v>
      </c>
    </row>
    <row r="1276" spans="1:5" x14ac:dyDescent="0.25">
      <c r="A1276" t="s">
        <v>12</v>
      </c>
      <c r="B1276" t="s">
        <v>10</v>
      </c>
      <c r="C1276">
        <v>95.86</v>
      </c>
      <c r="D1276">
        <v>99.213880000000003</v>
      </c>
      <c r="E1276" s="1">
        <v>41821</v>
      </c>
    </row>
    <row r="1277" spans="1:5" x14ac:dyDescent="0.25">
      <c r="A1277" t="s">
        <v>12</v>
      </c>
      <c r="B1277" t="s">
        <v>10</v>
      </c>
      <c r="C1277">
        <v>94.65</v>
      </c>
      <c r="D1277">
        <v>98.929850000000002</v>
      </c>
      <c r="E1277" s="1">
        <v>41852</v>
      </c>
    </row>
    <row r="1278" spans="1:5" x14ac:dyDescent="0.25">
      <c r="A1278" t="s">
        <v>12</v>
      </c>
      <c r="B1278" t="s">
        <v>10</v>
      </c>
      <c r="C1278">
        <v>95.35</v>
      </c>
      <c r="D1278">
        <v>99.846220000000002</v>
      </c>
      <c r="E1278" s="1">
        <v>41883</v>
      </c>
    </row>
    <row r="1279" spans="1:5" x14ac:dyDescent="0.25">
      <c r="A1279" t="s">
        <v>12</v>
      </c>
      <c r="B1279" t="s">
        <v>10</v>
      </c>
      <c r="C1279">
        <v>93.97</v>
      </c>
      <c r="D1279">
        <v>101.66555</v>
      </c>
      <c r="E1279" s="1">
        <v>41913</v>
      </c>
    </row>
    <row r="1280" spans="1:5" x14ac:dyDescent="0.25">
      <c r="A1280" t="s">
        <v>12</v>
      </c>
      <c r="B1280" t="s">
        <v>10</v>
      </c>
      <c r="C1280">
        <v>97.36</v>
      </c>
      <c r="D1280">
        <v>97.675219999999996</v>
      </c>
      <c r="E1280" s="1">
        <v>41944</v>
      </c>
    </row>
    <row r="1281" spans="1:5" x14ac:dyDescent="0.25">
      <c r="A1281" t="s">
        <v>12</v>
      </c>
      <c r="B1281" t="s">
        <v>10</v>
      </c>
      <c r="C1281">
        <v>94.48</v>
      </c>
      <c r="D1281">
        <v>98.138710000000003</v>
      </c>
      <c r="E1281" s="1">
        <v>41974</v>
      </c>
    </row>
    <row r="1282" spans="1:5" x14ac:dyDescent="0.25">
      <c r="A1282" t="s">
        <v>12</v>
      </c>
      <c r="B1282" t="s">
        <v>10</v>
      </c>
      <c r="C1282">
        <v>89.91</v>
      </c>
      <c r="D1282">
        <v>82.871570000000006</v>
      </c>
      <c r="E1282" s="1">
        <v>42005</v>
      </c>
    </row>
    <row r="1283" spans="1:5" x14ac:dyDescent="0.25">
      <c r="A1283" t="s">
        <v>12</v>
      </c>
      <c r="B1283" t="s">
        <v>10</v>
      </c>
      <c r="C1283">
        <v>90.13</v>
      </c>
      <c r="D1283">
        <v>78.002859999999998</v>
      </c>
      <c r="E1283" s="1">
        <v>42036</v>
      </c>
    </row>
    <row r="1284" spans="1:5" x14ac:dyDescent="0.25">
      <c r="A1284" t="s">
        <v>12</v>
      </c>
      <c r="B1284" t="s">
        <v>10</v>
      </c>
      <c r="C1284">
        <v>93.6</v>
      </c>
      <c r="D1284">
        <v>93.477959999999996</v>
      </c>
      <c r="E1284" s="1">
        <v>42064</v>
      </c>
    </row>
    <row r="1285" spans="1:5" x14ac:dyDescent="0.25">
      <c r="A1285" t="s">
        <v>12</v>
      </c>
      <c r="B1285" t="s">
        <v>10</v>
      </c>
      <c r="C1285">
        <v>89.05</v>
      </c>
      <c r="D1285">
        <v>86.185280000000006</v>
      </c>
      <c r="E1285" s="1">
        <v>42095</v>
      </c>
    </row>
    <row r="1286" spans="1:5" x14ac:dyDescent="0.25">
      <c r="A1286" t="s">
        <v>12</v>
      </c>
      <c r="B1286" t="s">
        <v>10</v>
      </c>
      <c r="C1286">
        <v>88.76</v>
      </c>
      <c r="D1286">
        <v>89.420259999999999</v>
      </c>
      <c r="E1286" s="1">
        <v>42125</v>
      </c>
    </row>
    <row r="1287" spans="1:5" x14ac:dyDescent="0.25">
      <c r="A1287" t="s">
        <v>12</v>
      </c>
      <c r="B1287" t="s">
        <v>10</v>
      </c>
      <c r="C1287">
        <v>86.33</v>
      </c>
      <c r="D1287">
        <v>85.357399999999998</v>
      </c>
      <c r="E1287" s="1">
        <v>42156</v>
      </c>
    </row>
    <row r="1288" spans="1:5" x14ac:dyDescent="0.25">
      <c r="A1288" t="s">
        <v>12</v>
      </c>
      <c r="B1288" t="s">
        <v>10</v>
      </c>
      <c r="C1288">
        <v>85.67</v>
      </c>
      <c r="D1288">
        <v>88.651570000000007</v>
      </c>
      <c r="E1288" s="1">
        <v>42186</v>
      </c>
    </row>
    <row r="1289" spans="1:5" x14ac:dyDescent="0.25">
      <c r="A1289" t="s">
        <v>12</v>
      </c>
      <c r="B1289" t="s">
        <v>10</v>
      </c>
      <c r="C1289">
        <v>88.56</v>
      </c>
      <c r="D1289">
        <v>92.295019999999994</v>
      </c>
      <c r="E1289" s="1">
        <v>42217</v>
      </c>
    </row>
    <row r="1290" spans="1:5" x14ac:dyDescent="0.25">
      <c r="A1290" t="s">
        <v>12</v>
      </c>
      <c r="B1290" t="s">
        <v>10</v>
      </c>
      <c r="C1290">
        <v>85.03</v>
      </c>
      <c r="D1290">
        <v>89.347290000000001</v>
      </c>
      <c r="E1290" s="1">
        <v>42248</v>
      </c>
    </row>
    <row r="1291" spans="1:5" x14ac:dyDescent="0.25">
      <c r="A1291" t="s">
        <v>12</v>
      </c>
      <c r="B1291" t="s">
        <v>10</v>
      </c>
      <c r="C1291">
        <v>86.55</v>
      </c>
      <c r="D1291">
        <v>92.056349999999995</v>
      </c>
      <c r="E1291" s="1">
        <v>42278</v>
      </c>
    </row>
    <row r="1292" spans="1:5" x14ac:dyDescent="0.25">
      <c r="A1292" t="s">
        <v>12</v>
      </c>
      <c r="B1292" t="s">
        <v>10</v>
      </c>
      <c r="C1292">
        <v>84.8</v>
      </c>
      <c r="D1292">
        <v>85.605109999999996</v>
      </c>
      <c r="E1292" s="1">
        <v>42309</v>
      </c>
    </row>
    <row r="1293" spans="1:5" x14ac:dyDescent="0.25">
      <c r="A1293" t="s">
        <v>12</v>
      </c>
      <c r="B1293" t="s">
        <v>10</v>
      </c>
      <c r="C1293">
        <v>83.02</v>
      </c>
      <c r="D1293">
        <v>86.648759999999996</v>
      </c>
      <c r="E1293" s="1">
        <v>42339</v>
      </c>
    </row>
    <row r="1294" spans="1:5" x14ac:dyDescent="0.25">
      <c r="A1294" t="s">
        <v>12</v>
      </c>
      <c r="B1294" t="s">
        <v>10</v>
      </c>
      <c r="C1294">
        <v>84.11</v>
      </c>
      <c r="D1294">
        <v>76.716009999999997</v>
      </c>
      <c r="E1294" s="1">
        <v>42370</v>
      </c>
    </row>
    <row r="1295" spans="1:5" x14ac:dyDescent="0.25">
      <c r="A1295" t="s">
        <v>12</v>
      </c>
      <c r="B1295" t="s">
        <v>10</v>
      </c>
      <c r="C1295">
        <v>85.19</v>
      </c>
      <c r="D1295">
        <v>76.666780000000003</v>
      </c>
      <c r="E1295" s="1">
        <v>42401</v>
      </c>
    </row>
    <row r="1296" spans="1:5" x14ac:dyDescent="0.25">
      <c r="A1296" t="s">
        <v>12</v>
      </c>
      <c r="B1296" t="s">
        <v>10</v>
      </c>
      <c r="C1296">
        <v>88.07</v>
      </c>
      <c r="D1296">
        <v>87.297650000000004</v>
      </c>
      <c r="E1296" s="1">
        <v>42430</v>
      </c>
    </row>
    <row r="1297" spans="1:5" x14ac:dyDescent="0.25">
      <c r="A1297" t="s">
        <v>12</v>
      </c>
      <c r="B1297" t="s">
        <v>10</v>
      </c>
      <c r="C1297">
        <v>81.8</v>
      </c>
      <c r="D1297">
        <v>79.728229999999996</v>
      </c>
      <c r="E1297" s="1">
        <v>42461</v>
      </c>
    </row>
    <row r="1298" spans="1:5" x14ac:dyDescent="0.25">
      <c r="A1298" t="s">
        <v>12</v>
      </c>
      <c r="B1298" t="s">
        <v>10</v>
      </c>
      <c r="C1298">
        <v>82.58</v>
      </c>
      <c r="D1298">
        <v>81.738690000000005</v>
      </c>
      <c r="E1298" s="1">
        <v>42491</v>
      </c>
    </row>
    <row r="1299" spans="1:5" x14ac:dyDescent="0.25">
      <c r="A1299" t="s">
        <v>12</v>
      </c>
      <c r="B1299" t="s">
        <v>10</v>
      </c>
      <c r="C1299">
        <v>82.16</v>
      </c>
      <c r="D1299">
        <v>84.15558</v>
      </c>
      <c r="E1299" s="1">
        <v>42522</v>
      </c>
    </row>
    <row r="1300" spans="1:5" x14ac:dyDescent="0.25">
      <c r="A1300" t="s">
        <v>12</v>
      </c>
      <c r="B1300" t="s">
        <v>10</v>
      </c>
      <c r="C1300">
        <v>82.36</v>
      </c>
      <c r="D1300">
        <v>83.170240000000007</v>
      </c>
      <c r="E1300" s="1">
        <v>42552</v>
      </c>
    </row>
    <row r="1301" spans="1:5" x14ac:dyDescent="0.25">
      <c r="A1301" t="s">
        <v>12</v>
      </c>
      <c r="B1301" t="s">
        <v>10</v>
      </c>
      <c r="C1301">
        <v>81.25</v>
      </c>
      <c r="D1301">
        <v>87.038120000000006</v>
      </c>
      <c r="E1301" s="1">
        <v>42583</v>
      </c>
    </row>
    <row r="1302" spans="1:5" x14ac:dyDescent="0.25">
      <c r="A1302" t="s">
        <v>12</v>
      </c>
      <c r="B1302" t="s">
        <v>10</v>
      </c>
      <c r="C1302">
        <v>82.11</v>
      </c>
      <c r="D1302">
        <v>85.635999999999996</v>
      </c>
      <c r="E1302" s="1">
        <v>42614</v>
      </c>
    </row>
    <row r="1303" spans="1:5" x14ac:dyDescent="0.25">
      <c r="A1303" t="s">
        <v>12</v>
      </c>
      <c r="B1303" t="s">
        <v>10</v>
      </c>
      <c r="C1303">
        <v>80.41</v>
      </c>
      <c r="D1303">
        <v>83.771169999999998</v>
      </c>
      <c r="E1303" s="1">
        <v>42644</v>
      </c>
    </row>
    <row r="1304" spans="1:5" x14ac:dyDescent="0.25">
      <c r="A1304" t="s">
        <v>12</v>
      </c>
      <c r="B1304" t="s">
        <v>10</v>
      </c>
      <c r="C1304">
        <v>80.06</v>
      </c>
      <c r="D1304">
        <v>82.512919999999994</v>
      </c>
      <c r="E1304" s="1">
        <v>42675</v>
      </c>
    </row>
    <row r="1305" spans="1:5" x14ac:dyDescent="0.25">
      <c r="A1305" t="s">
        <v>12</v>
      </c>
      <c r="B1305" t="s">
        <v>10</v>
      </c>
      <c r="C1305">
        <v>81.5</v>
      </c>
      <c r="D1305">
        <v>84.168570000000003</v>
      </c>
      <c r="E1305" s="1">
        <v>42705</v>
      </c>
    </row>
    <row r="1306" spans="1:5" x14ac:dyDescent="0.25">
      <c r="A1306" t="s">
        <v>12</v>
      </c>
      <c r="B1306" t="s">
        <v>10</v>
      </c>
      <c r="C1306">
        <v>83.06</v>
      </c>
      <c r="D1306">
        <v>76.674040000000005</v>
      </c>
      <c r="E1306" s="1">
        <v>42736</v>
      </c>
    </row>
    <row r="1307" spans="1:5" x14ac:dyDescent="0.25">
      <c r="A1307" t="s">
        <v>12</v>
      </c>
      <c r="B1307" t="s">
        <v>10</v>
      </c>
      <c r="C1307">
        <v>84.92</v>
      </c>
      <c r="D1307">
        <v>73.835369999999998</v>
      </c>
      <c r="E1307" s="1">
        <v>42767</v>
      </c>
    </row>
    <row r="1308" spans="1:5" x14ac:dyDescent="0.25">
      <c r="A1308" t="s">
        <v>12</v>
      </c>
      <c r="B1308" t="s">
        <v>10</v>
      </c>
      <c r="C1308">
        <v>84.84</v>
      </c>
      <c r="D1308">
        <v>85.659090000000006</v>
      </c>
      <c r="E1308" s="1">
        <v>42795</v>
      </c>
    </row>
    <row r="1309" spans="1:5" x14ac:dyDescent="0.25">
      <c r="A1309" t="s">
        <v>12</v>
      </c>
      <c r="B1309" t="s">
        <v>10</v>
      </c>
      <c r="C1309">
        <v>86.39</v>
      </c>
      <c r="D1309">
        <v>80.868200000000002</v>
      </c>
      <c r="E1309" s="1">
        <v>42826</v>
      </c>
    </row>
    <row r="1310" spans="1:5" x14ac:dyDescent="0.25">
      <c r="A1310" t="s">
        <v>12</v>
      </c>
      <c r="B1310" t="s">
        <v>10</v>
      </c>
      <c r="C1310">
        <v>84.6</v>
      </c>
      <c r="D1310">
        <v>87.779480000000007</v>
      </c>
      <c r="E1310" s="1">
        <v>42856</v>
      </c>
    </row>
    <row r="1311" spans="1:5" x14ac:dyDescent="0.25">
      <c r="A1311" t="s">
        <v>12</v>
      </c>
      <c r="B1311" t="s">
        <v>10</v>
      </c>
      <c r="C1311">
        <v>87.57</v>
      </c>
      <c r="D1311">
        <v>87.268159999999995</v>
      </c>
      <c r="E1311" s="1">
        <v>42887</v>
      </c>
    </row>
    <row r="1312" spans="1:5" x14ac:dyDescent="0.25">
      <c r="A1312" t="s">
        <v>12</v>
      </c>
      <c r="B1312" t="s">
        <v>10</v>
      </c>
      <c r="C1312">
        <v>86.78</v>
      </c>
      <c r="D1312">
        <v>87.44511</v>
      </c>
      <c r="E1312" s="1">
        <v>42917</v>
      </c>
    </row>
    <row r="1313" spans="1:5" x14ac:dyDescent="0.25">
      <c r="A1313" t="s">
        <v>12</v>
      </c>
      <c r="B1313" t="s">
        <v>10</v>
      </c>
      <c r="C1313">
        <v>86.62</v>
      </c>
      <c r="D1313">
        <v>92.82826</v>
      </c>
      <c r="E1313" s="1">
        <v>42948</v>
      </c>
    </row>
    <row r="1314" spans="1:5" x14ac:dyDescent="0.25">
      <c r="A1314" t="s">
        <v>12</v>
      </c>
      <c r="B1314" t="s">
        <v>10</v>
      </c>
      <c r="C1314">
        <v>85.15</v>
      </c>
      <c r="D1314">
        <v>87.999660000000006</v>
      </c>
      <c r="E1314" s="1">
        <v>42979</v>
      </c>
    </row>
    <row r="1315" spans="1:5" x14ac:dyDescent="0.25">
      <c r="A1315" t="s">
        <v>12</v>
      </c>
      <c r="B1315" t="s">
        <v>10</v>
      </c>
      <c r="C1315">
        <v>86.7</v>
      </c>
      <c r="D1315">
        <v>90.786249999999995</v>
      </c>
      <c r="E1315" s="1">
        <v>43009</v>
      </c>
    </row>
    <row r="1316" spans="1:5" x14ac:dyDescent="0.25">
      <c r="A1316" t="s">
        <v>12</v>
      </c>
      <c r="B1316" t="s">
        <v>10</v>
      </c>
      <c r="C1316">
        <v>87.09</v>
      </c>
      <c r="D1316">
        <v>89.729370000000003</v>
      </c>
      <c r="E1316" s="1">
        <v>43040</v>
      </c>
    </row>
    <row r="1317" spans="1:5" x14ac:dyDescent="0.25">
      <c r="A1317" t="s">
        <v>12</v>
      </c>
      <c r="B1317" t="s">
        <v>10</v>
      </c>
      <c r="C1317">
        <v>88.84</v>
      </c>
      <c r="D1317">
        <v>90.660899999999998</v>
      </c>
      <c r="E1317" s="1">
        <v>43070</v>
      </c>
    </row>
    <row r="1318" spans="1:5" x14ac:dyDescent="0.25">
      <c r="A1318" t="s">
        <v>12</v>
      </c>
      <c r="B1318" t="s">
        <v>10</v>
      </c>
      <c r="C1318">
        <v>86.53</v>
      </c>
      <c r="D1318">
        <v>81.546779999999998</v>
      </c>
      <c r="E1318" s="1">
        <v>43101</v>
      </c>
    </row>
    <row r="1319" spans="1:5" x14ac:dyDescent="0.25">
      <c r="A1319" t="s">
        <v>12</v>
      </c>
      <c r="B1319" t="s">
        <v>10</v>
      </c>
      <c r="C1319">
        <v>85.77</v>
      </c>
      <c r="D1319">
        <v>74.66686</v>
      </c>
      <c r="E1319" s="1">
        <v>43132</v>
      </c>
    </row>
    <row r="1320" spans="1:5" x14ac:dyDescent="0.25">
      <c r="A1320" t="s">
        <v>12</v>
      </c>
      <c r="B1320" t="s">
        <v>10</v>
      </c>
      <c r="C1320">
        <v>86.65</v>
      </c>
      <c r="D1320">
        <v>84.302000000000007</v>
      </c>
      <c r="E1320" s="1">
        <v>43160</v>
      </c>
    </row>
    <row r="1321" spans="1:5" x14ac:dyDescent="0.25">
      <c r="A1321" t="s">
        <v>12</v>
      </c>
      <c r="B1321" t="s">
        <v>10</v>
      </c>
      <c r="C1321">
        <v>87.12</v>
      </c>
      <c r="D1321">
        <v>83.746449999999996</v>
      </c>
      <c r="E1321" s="1">
        <v>43191</v>
      </c>
    </row>
    <row r="1322" spans="1:5" x14ac:dyDescent="0.25">
      <c r="A1322" t="s">
        <v>12</v>
      </c>
      <c r="B1322" t="s">
        <v>10</v>
      </c>
      <c r="C1322">
        <v>79.97</v>
      </c>
      <c r="D1322">
        <v>83.253699999999995</v>
      </c>
      <c r="E1322" s="1">
        <v>43221</v>
      </c>
    </row>
    <row r="1323" spans="1:5" x14ac:dyDescent="0.25">
      <c r="A1323" t="s">
        <v>12</v>
      </c>
      <c r="B1323" t="s">
        <v>10</v>
      </c>
      <c r="C1323">
        <v>93.57</v>
      </c>
      <c r="D1323">
        <v>92.842290000000006</v>
      </c>
      <c r="E1323" s="1">
        <v>43252</v>
      </c>
    </row>
    <row r="1324" spans="1:5" x14ac:dyDescent="0.25">
      <c r="A1324" t="s">
        <v>12</v>
      </c>
      <c r="B1324" t="s">
        <v>10</v>
      </c>
      <c r="C1324">
        <v>88.13</v>
      </c>
      <c r="D1324">
        <v>89.729339999999993</v>
      </c>
      <c r="E1324" s="1">
        <v>43282</v>
      </c>
    </row>
    <row r="1325" spans="1:5" x14ac:dyDescent="0.25">
      <c r="A1325" t="s">
        <v>12</v>
      </c>
      <c r="B1325" t="s">
        <v>10</v>
      </c>
      <c r="C1325">
        <v>88.41</v>
      </c>
      <c r="D1325">
        <v>94.494389999999996</v>
      </c>
      <c r="E1325" s="1">
        <v>43313</v>
      </c>
    </row>
    <row r="1326" spans="1:5" x14ac:dyDescent="0.25">
      <c r="A1326" t="s">
        <v>12</v>
      </c>
      <c r="B1326" t="s">
        <v>10</v>
      </c>
      <c r="C1326">
        <v>88</v>
      </c>
      <c r="D1326">
        <v>89.461010000000002</v>
      </c>
      <c r="E1326" s="1">
        <v>43344</v>
      </c>
    </row>
    <row r="1327" spans="1:5" x14ac:dyDescent="0.25">
      <c r="A1327" t="s">
        <v>12</v>
      </c>
      <c r="B1327" t="s">
        <v>10</v>
      </c>
      <c r="C1327">
        <v>87.03</v>
      </c>
      <c r="D1327">
        <v>92.061369999999997</v>
      </c>
      <c r="E1327" s="1">
        <v>43374</v>
      </c>
    </row>
    <row r="1328" spans="1:5" x14ac:dyDescent="0.25">
      <c r="A1328" t="s">
        <v>12</v>
      </c>
      <c r="B1328" t="s">
        <v>10</v>
      </c>
      <c r="C1328">
        <v>87.57</v>
      </c>
      <c r="D1328">
        <v>90.123260000000002</v>
      </c>
      <c r="E1328" s="1">
        <v>43405</v>
      </c>
    </row>
    <row r="1329" spans="1:5" x14ac:dyDescent="0.25">
      <c r="A1329" t="s">
        <v>12</v>
      </c>
      <c r="B1329" t="s">
        <v>10</v>
      </c>
      <c r="C1329">
        <v>85.99</v>
      </c>
      <c r="D1329">
        <v>87.716740000000001</v>
      </c>
      <c r="E1329" s="1">
        <v>43435</v>
      </c>
    </row>
    <row r="1330" spans="1:5" x14ac:dyDescent="0.25">
      <c r="A1330" t="s">
        <v>12</v>
      </c>
      <c r="B1330" t="s">
        <v>10</v>
      </c>
      <c r="C1330">
        <v>85.38</v>
      </c>
      <c r="D1330">
        <v>81.082080000000005</v>
      </c>
      <c r="E1330" s="1">
        <v>43466</v>
      </c>
    </row>
    <row r="1331" spans="1:5" x14ac:dyDescent="0.25">
      <c r="A1331" t="s">
        <v>12</v>
      </c>
      <c r="B1331" t="s">
        <v>10</v>
      </c>
      <c r="C1331">
        <v>80.900000000000006</v>
      </c>
      <c r="D1331">
        <v>74.608249999999998</v>
      </c>
      <c r="E1331" s="1">
        <v>43497</v>
      </c>
    </row>
    <row r="1332" spans="1:5" x14ac:dyDescent="0.25">
      <c r="A1332" t="s">
        <v>12</v>
      </c>
      <c r="B1332" t="s">
        <v>10</v>
      </c>
      <c r="C1332">
        <v>83.66</v>
      </c>
      <c r="D1332">
        <v>77.64085</v>
      </c>
      <c r="E1332" s="1">
        <v>43525</v>
      </c>
    </row>
    <row r="1333" spans="1:5" x14ac:dyDescent="0.25">
      <c r="A1333" t="s">
        <v>12</v>
      </c>
      <c r="B1333" t="s">
        <v>10</v>
      </c>
      <c r="C1333">
        <v>83.23</v>
      </c>
      <c r="D1333">
        <v>79.262010000000004</v>
      </c>
      <c r="E1333" s="1">
        <v>43556</v>
      </c>
    </row>
    <row r="1334" spans="1:5" x14ac:dyDescent="0.25">
      <c r="A1334" t="s">
        <v>12</v>
      </c>
      <c r="B1334" t="s">
        <v>10</v>
      </c>
      <c r="C1334">
        <v>83.64</v>
      </c>
      <c r="D1334">
        <v>86.926180000000002</v>
      </c>
      <c r="E1334" s="1">
        <v>43586</v>
      </c>
    </row>
    <row r="1335" spans="1:5" x14ac:dyDescent="0.25">
      <c r="A1335" t="s">
        <v>12</v>
      </c>
      <c r="B1335" t="s">
        <v>10</v>
      </c>
      <c r="C1335">
        <v>81.45</v>
      </c>
      <c r="D1335">
        <v>79.878119999999996</v>
      </c>
      <c r="E1335" s="1">
        <v>43617</v>
      </c>
    </row>
    <row r="1336" spans="1:5" x14ac:dyDescent="0.25">
      <c r="A1336" t="s">
        <v>12</v>
      </c>
      <c r="B1336" t="s">
        <v>10</v>
      </c>
      <c r="C1336">
        <v>83.56</v>
      </c>
      <c r="D1336">
        <v>86.49776</v>
      </c>
      <c r="E1336" s="1">
        <v>43647</v>
      </c>
    </row>
    <row r="1337" spans="1:5" x14ac:dyDescent="0.25">
      <c r="A1337" t="s">
        <v>12</v>
      </c>
      <c r="B1337" t="s">
        <v>10</v>
      </c>
      <c r="C1337">
        <v>81.040000000000006</v>
      </c>
      <c r="D1337">
        <v>85.535560000000004</v>
      </c>
      <c r="E1337" s="1">
        <v>43678</v>
      </c>
    </row>
    <row r="1338" spans="1:5" x14ac:dyDescent="0.25">
      <c r="A1338" t="s">
        <v>12</v>
      </c>
      <c r="B1338" t="s">
        <v>10</v>
      </c>
      <c r="C1338">
        <v>86.7</v>
      </c>
      <c r="D1338">
        <v>88.55874</v>
      </c>
      <c r="E1338" s="1">
        <v>43709</v>
      </c>
    </row>
    <row r="1339" spans="1:5" x14ac:dyDescent="0.25">
      <c r="A1339" t="s">
        <v>12</v>
      </c>
      <c r="B1339" t="s">
        <v>10</v>
      </c>
      <c r="C1339">
        <v>87.77</v>
      </c>
      <c r="D1339">
        <v>92.331440000000001</v>
      </c>
      <c r="E1339" s="1">
        <v>43739</v>
      </c>
    </row>
    <row r="1340" spans="1:5" x14ac:dyDescent="0.25">
      <c r="A1340" t="s">
        <v>12</v>
      </c>
      <c r="B1340" t="s">
        <v>10</v>
      </c>
      <c r="C1340">
        <v>85.26</v>
      </c>
      <c r="D1340">
        <v>86.958780000000004</v>
      </c>
      <c r="E1340" s="1">
        <v>43770</v>
      </c>
    </row>
    <row r="1341" spans="1:5" x14ac:dyDescent="0.25">
      <c r="A1341" t="s">
        <v>12</v>
      </c>
      <c r="B1341" t="s">
        <v>10</v>
      </c>
      <c r="C1341">
        <v>85.12</v>
      </c>
      <c r="D1341">
        <v>88.014750000000006</v>
      </c>
      <c r="E1341" s="1">
        <v>43800</v>
      </c>
    </row>
    <row r="1342" spans="1:5" x14ac:dyDescent="0.25">
      <c r="A1342" t="s">
        <v>12</v>
      </c>
      <c r="B1342" t="s">
        <v>10</v>
      </c>
      <c r="C1342">
        <v>85.34</v>
      </c>
      <c r="D1342">
        <v>81.365660000000005</v>
      </c>
      <c r="E1342" s="1">
        <v>43831</v>
      </c>
    </row>
    <row r="1343" spans="1:5" x14ac:dyDescent="0.25">
      <c r="A1343" t="s">
        <v>12</v>
      </c>
      <c r="B1343" t="s">
        <v>10</v>
      </c>
      <c r="C1343">
        <v>84.54</v>
      </c>
      <c r="D1343">
        <v>76.150469999999999</v>
      </c>
      <c r="E1343" s="1">
        <v>43862</v>
      </c>
    </row>
    <row r="1344" spans="1:5" x14ac:dyDescent="0.25">
      <c r="A1344" t="s">
        <v>12</v>
      </c>
      <c r="B1344" t="s">
        <v>10</v>
      </c>
      <c r="C1344">
        <v>79.78</v>
      </c>
      <c r="D1344">
        <v>79.056269999999998</v>
      </c>
      <c r="E1344" s="1">
        <v>43891</v>
      </c>
    </row>
    <row r="1345" spans="1:5" x14ac:dyDescent="0.25">
      <c r="A1345" t="s">
        <v>12</v>
      </c>
      <c r="B1345" t="s">
        <v>10</v>
      </c>
      <c r="C1345">
        <v>63.82</v>
      </c>
      <c r="D1345">
        <v>60.855170000000001</v>
      </c>
      <c r="E1345" s="1">
        <v>43922</v>
      </c>
    </row>
    <row r="1346" spans="1:5" x14ac:dyDescent="0.25">
      <c r="A1346" t="s">
        <v>12</v>
      </c>
      <c r="B1346" t="s">
        <v>10</v>
      </c>
      <c r="C1346">
        <v>64.92</v>
      </c>
      <c r="D1346">
        <v>65.825590000000005</v>
      </c>
      <c r="E1346" s="1">
        <v>43952</v>
      </c>
    </row>
    <row r="1347" spans="1:5" x14ac:dyDescent="0.25">
      <c r="A1347" t="s">
        <v>12</v>
      </c>
      <c r="B1347" t="s">
        <v>10</v>
      </c>
      <c r="C1347">
        <v>69.95</v>
      </c>
      <c r="D1347">
        <v>70.180539999999993</v>
      </c>
      <c r="E1347" s="1">
        <v>43983</v>
      </c>
    </row>
    <row r="1348" spans="1:5" x14ac:dyDescent="0.25">
      <c r="A1348" t="s">
        <v>12</v>
      </c>
      <c r="B1348" t="s">
        <v>10</v>
      </c>
      <c r="C1348">
        <v>72.23</v>
      </c>
      <c r="D1348">
        <v>74.806799999999996</v>
      </c>
      <c r="E1348" s="1">
        <v>44013</v>
      </c>
    </row>
    <row r="1349" spans="1:5" x14ac:dyDescent="0.25">
      <c r="A1349" t="s">
        <v>12</v>
      </c>
      <c r="B1349" t="s">
        <v>10</v>
      </c>
      <c r="C1349">
        <v>74.260000000000005</v>
      </c>
      <c r="D1349">
        <v>77.115729999999999</v>
      </c>
      <c r="E1349" s="1">
        <v>44044</v>
      </c>
    </row>
    <row r="1350" spans="1:5" x14ac:dyDescent="0.25">
      <c r="A1350" t="s">
        <v>12</v>
      </c>
      <c r="B1350" t="s">
        <v>10</v>
      </c>
      <c r="C1350">
        <v>77.33</v>
      </c>
      <c r="D1350">
        <v>80.3887</v>
      </c>
      <c r="E1350" s="1">
        <v>44075</v>
      </c>
    </row>
    <row r="1351" spans="1:5" x14ac:dyDescent="0.25">
      <c r="A1351" t="s">
        <v>12</v>
      </c>
      <c r="B1351" t="s">
        <v>10</v>
      </c>
      <c r="C1351">
        <v>78.81</v>
      </c>
      <c r="D1351">
        <v>81.274839999999998</v>
      </c>
      <c r="E1351" s="1">
        <v>44105</v>
      </c>
    </row>
    <row r="1352" spans="1:5" x14ac:dyDescent="0.25">
      <c r="A1352" t="s">
        <v>12</v>
      </c>
      <c r="B1352" t="s">
        <v>10</v>
      </c>
      <c r="C1352">
        <v>81.62</v>
      </c>
      <c r="D1352">
        <v>82.398679999999999</v>
      </c>
      <c r="E1352" s="1">
        <v>44136</v>
      </c>
    </row>
    <row r="1353" spans="1:5" x14ac:dyDescent="0.25">
      <c r="A1353" t="s">
        <v>12</v>
      </c>
      <c r="B1353" t="s">
        <v>10</v>
      </c>
      <c r="C1353">
        <v>79.680000000000007</v>
      </c>
      <c r="D1353">
        <v>84.032070000000004</v>
      </c>
      <c r="E1353" s="1">
        <v>44166</v>
      </c>
    </row>
    <row r="1354" spans="1:5" x14ac:dyDescent="0.25">
      <c r="A1354" t="s">
        <v>12</v>
      </c>
      <c r="B1354" t="s">
        <v>10</v>
      </c>
      <c r="C1354">
        <v>81.02</v>
      </c>
      <c r="D1354">
        <v>75.697159999999997</v>
      </c>
      <c r="E1354" s="1">
        <v>44197</v>
      </c>
    </row>
    <row r="1355" spans="1:5" x14ac:dyDescent="0.25">
      <c r="A1355" t="s">
        <v>12</v>
      </c>
      <c r="B1355" t="s">
        <v>10</v>
      </c>
      <c r="C1355">
        <v>84.9</v>
      </c>
      <c r="D1355">
        <v>74.633390000000006</v>
      </c>
      <c r="E1355" s="1">
        <v>44228</v>
      </c>
    </row>
    <row r="1356" spans="1:5" x14ac:dyDescent="0.25">
      <c r="A1356" t="s">
        <v>12</v>
      </c>
      <c r="B1356" t="s">
        <v>10</v>
      </c>
      <c r="C1356">
        <v>80.86</v>
      </c>
      <c r="D1356">
        <v>81.752219999999994</v>
      </c>
      <c r="E1356" s="1">
        <v>44256</v>
      </c>
    </row>
    <row r="1357" spans="1:5" x14ac:dyDescent="0.25">
      <c r="A1357" t="s">
        <v>12</v>
      </c>
      <c r="B1357" t="s">
        <v>10</v>
      </c>
      <c r="C1357">
        <v>82.47</v>
      </c>
      <c r="D1357">
        <v>78.540809999999993</v>
      </c>
      <c r="E1357" s="1">
        <v>44287</v>
      </c>
    </row>
    <row r="1358" spans="1:5" x14ac:dyDescent="0.25">
      <c r="A1358" t="s">
        <v>12</v>
      </c>
      <c r="B1358" t="s">
        <v>10</v>
      </c>
      <c r="C1358">
        <v>86.05</v>
      </c>
      <c r="D1358">
        <v>86.877949999999998</v>
      </c>
      <c r="E1358" s="1">
        <v>44317</v>
      </c>
    </row>
    <row r="1359" spans="1:5" x14ac:dyDescent="0.25">
      <c r="A1359" t="s">
        <v>12</v>
      </c>
      <c r="B1359" t="s">
        <v>10</v>
      </c>
      <c r="C1359">
        <v>87.09</v>
      </c>
      <c r="D1359">
        <v>87.81362</v>
      </c>
      <c r="E1359" s="1">
        <v>44348</v>
      </c>
    </row>
    <row r="1360" spans="1:5" x14ac:dyDescent="0.25">
      <c r="A1360" t="s">
        <v>12</v>
      </c>
      <c r="B1360" t="s">
        <v>10</v>
      </c>
      <c r="C1360">
        <v>85.38</v>
      </c>
      <c r="D1360">
        <v>87.461820000000003</v>
      </c>
      <c r="E1360" s="1">
        <v>44378</v>
      </c>
    </row>
    <row r="1361" spans="1:5" x14ac:dyDescent="0.25">
      <c r="A1361" t="s">
        <v>12</v>
      </c>
      <c r="B1361" t="s">
        <v>10</v>
      </c>
      <c r="C1361">
        <v>87.87</v>
      </c>
      <c r="D1361">
        <v>92.107389999999995</v>
      </c>
      <c r="E1361" s="1">
        <v>44409</v>
      </c>
    </row>
    <row r="1362" spans="1:5" x14ac:dyDescent="0.25">
      <c r="A1362" t="s">
        <v>12</v>
      </c>
      <c r="B1362" t="s">
        <v>10</v>
      </c>
      <c r="C1362">
        <v>85.41</v>
      </c>
      <c r="D1362">
        <v>88.386070000000004</v>
      </c>
      <c r="E1362" s="1">
        <v>44440</v>
      </c>
    </row>
    <row r="1363" spans="1:5" x14ac:dyDescent="0.25">
      <c r="A1363" t="s">
        <v>12</v>
      </c>
      <c r="B1363" t="s">
        <v>10</v>
      </c>
      <c r="C1363">
        <v>87.45</v>
      </c>
      <c r="D1363">
        <v>88.611329999999995</v>
      </c>
      <c r="E1363" s="1">
        <v>44470</v>
      </c>
    </row>
    <row r="1364" spans="1:5" x14ac:dyDescent="0.25">
      <c r="A1364" t="s">
        <v>12</v>
      </c>
      <c r="B1364" t="s">
        <v>10</v>
      </c>
      <c r="C1364">
        <v>89.57</v>
      </c>
      <c r="D1364">
        <v>91.522679999999994</v>
      </c>
      <c r="E1364" s="1">
        <v>44501</v>
      </c>
    </row>
    <row r="1365" spans="1:5" x14ac:dyDescent="0.25">
      <c r="A1365" t="s">
        <v>12</v>
      </c>
      <c r="B1365" t="s">
        <v>10</v>
      </c>
      <c r="C1365">
        <v>93.42</v>
      </c>
      <c r="D1365">
        <v>98.357730000000004</v>
      </c>
      <c r="E1365" s="1">
        <v>44531</v>
      </c>
    </row>
    <row r="1366" spans="1:5" x14ac:dyDescent="0.25">
      <c r="A1366" t="s">
        <v>12</v>
      </c>
      <c r="B1366" t="s">
        <v>10</v>
      </c>
      <c r="C1366">
        <v>96.64</v>
      </c>
      <c r="D1366">
        <v>90.383359999999996</v>
      </c>
      <c r="E1366" s="1">
        <v>44562</v>
      </c>
    </row>
    <row r="1367" spans="1:5" x14ac:dyDescent="0.25">
      <c r="A1367" t="s">
        <v>12</v>
      </c>
      <c r="B1367" t="s">
        <v>10</v>
      </c>
      <c r="C1367">
        <v>98.12</v>
      </c>
      <c r="D1367">
        <v>86.553910000000002</v>
      </c>
      <c r="E1367" s="1">
        <v>44593</v>
      </c>
    </row>
    <row r="1368" spans="1:5" x14ac:dyDescent="0.25">
      <c r="A1368" t="s">
        <v>12</v>
      </c>
      <c r="B1368" t="s">
        <v>10</v>
      </c>
      <c r="C1368">
        <v>98.77</v>
      </c>
      <c r="D1368">
        <v>100.23121</v>
      </c>
      <c r="E1368" s="1">
        <v>44621</v>
      </c>
    </row>
    <row r="1369" spans="1:5" x14ac:dyDescent="0.25">
      <c r="A1369" t="s">
        <v>12</v>
      </c>
      <c r="B1369" t="s">
        <v>10</v>
      </c>
      <c r="C1369">
        <v>97.59</v>
      </c>
      <c r="D1369">
        <v>92.408360000000002</v>
      </c>
      <c r="E1369" s="1">
        <v>44652</v>
      </c>
    </row>
    <row r="1370" spans="1:5" x14ac:dyDescent="0.25">
      <c r="A1370" t="s">
        <v>12</v>
      </c>
      <c r="B1370" t="s">
        <v>10</v>
      </c>
      <c r="C1370">
        <v>96.96</v>
      </c>
      <c r="D1370">
        <v>98.835700000000003</v>
      </c>
      <c r="E1370" s="1">
        <v>44682</v>
      </c>
    </row>
    <row r="1371" spans="1:5" x14ac:dyDescent="0.25">
      <c r="A1371" t="s">
        <v>12</v>
      </c>
      <c r="B1371" t="s">
        <v>10</v>
      </c>
      <c r="C1371">
        <v>97.74</v>
      </c>
      <c r="D1371">
        <v>98.584410000000005</v>
      </c>
      <c r="E1371" s="1">
        <v>44713</v>
      </c>
    </row>
    <row r="1372" spans="1:5" x14ac:dyDescent="0.25">
      <c r="A1372" t="s">
        <v>12</v>
      </c>
      <c r="B1372" t="s">
        <v>10</v>
      </c>
      <c r="C1372">
        <v>102.18</v>
      </c>
      <c r="D1372">
        <v>103.47065000000001</v>
      </c>
      <c r="E1372" s="1">
        <v>44743</v>
      </c>
    </row>
    <row r="1373" spans="1:5" x14ac:dyDescent="0.25">
      <c r="A1373" t="s">
        <v>12</v>
      </c>
      <c r="B1373" t="s">
        <v>10</v>
      </c>
      <c r="C1373">
        <v>103.3</v>
      </c>
      <c r="D1373">
        <v>109.82080999999999</v>
      </c>
      <c r="E1373" s="1">
        <v>44774</v>
      </c>
    </row>
    <row r="1374" spans="1:5" x14ac:dyDescent="0.25">
      <c r="A1374" t="s">
        <v>12</v>
      </c>
      <c r="B1374" t="s">
        <v>10</v>
      </c>
      <c r="C1374">
        <v>103.02</v>
      </c>
      <c r="D1374">
        <v>105.99217</v>
      </c>
      <c r="E1374" s="1">
        <v>44805</v>
      </c>
    </row>
    <row r="1375" spans="1:5" x14ac:dyDescent="0.25">
      <c r="A1375" t="s">
        <v>12</v>
      </c>
      <c r="B1375" t="s">
        <v>10</v>
      </c>
      <c r="C1375">
        <v>102.47</v>
      </c>
      <c r="D1375">
        <v>103.36602999999999</v>
      </c>
      <c r="E1375" s="1">
        <v>44835</v>
      </c>
    </row>
    <row r="1376" spans="1:5" x14ac:dyDescent="0.25">
      <c r="A1376" t="s">
        <v>12</v>
      </c>
      <c r="B1376" t="s">
        <v>10</v>
      </c>
      <c r="C1376">
        <v>101.15</v>
      </c>
      <c r="D1376">
        <v>103.4284</v>
      </c>
      <c r="E1376" s="1">
        <v>44866</v>
      </c>
    </row>
    <row r="1377" spans="1:5" x14ac:dyDescent="0.25">
      <c r="A1377" t="s">
        <v>12</v>
      </c>
      <c r="B1377" t="s">
        <v>10</v>
      </c>
      <c r="C1377">
        <v>102.77</v>
      </c>
      <c r="D1377">
        <v>106.92498999999999</v>
      </c>
      <c r="E1377" s="1">
        <v>44896</v>
      </c>
    </row>
    <row r="1378" spans="1:5" x14ac:dyDescent="0.25">
      <c r="A1378" t="s">
        <v>12</v>
      </c>
      <c r="B1378" t="s">
        <v>10</v>
      </c>
      <c r="C1378">
        <v>94.28</v>
      </c>
      <c r="D1378">
        <v>89.313100000000006</v>
      </c>
      <c r="E1378" s="1">
        <v>44927</v>
      </c>
    </row>
    <row r="1379" spans="1:5" x14ac:dyDescent="0.25">
      <c r="A1379" t="s">
        <v>12</v>
      </c>
      <c r="B1379" t="s">
        <v>10</v>
      </c>
      <c r="C1379">
        <v>99.21</v>
      </c>
      <c r="D1379">
        <v>87.622720000000001</v>
      </c>
      <c r="E1379" s="1">
        <v>44958</v>
      </c>
    </row>
    <row r="1380" spans="1:5" x14ac:dyDescent="0.25">
      <c r="A1380" t="s">
        <v>12</v>
      </c>
      <c r="B1380" t="s">
        <v>10</v>
      </c>
      <c r="C1380">
        <v>102.17</v>
      </c>
      <c r="D1380">
        <v>103.76802000000001</v>
      </c>
      <c r="E1380" s="1">
        <v>44986</v>
      </c>
    </row>
    <row r="1381" spans="1:5" x14ac:dyDescent="0.25">
      <c r="A1381" t="s">
        <v>12</v>
      </c>
      <c r="B1381" t="s">
        <v>10</v>
      </c>
      <c r="C1381">
        <v>97.23</v>
      </c>
      <c r="D1381">
        <v>91.145049999999998</v>
      </c>
      <c r="E1381" s="1">
        <v>45017</v>
      </c>
    </row>
    <row r="1382" spans="1:5" x14ac:dyDescent="0.25">
      <c r="A1382" t="s">
        <v>12</v>
      </c>
      <c r="B1382" t="s">
        <v>10</v>
      </c>
      <c r="C1382">
        <v>96.69</v>
      </c>
      <c r="D1382">
        <v>99.884060000000005</v>
      </c>
      <c r="E1382" s="1">
        <v>45047</v>
      </c>
    </row>
    <row r="1383" spans="1:5" x14ac:dyDescent="0.25">
      <c r="A1383" t="s">
        <v>12</v>
      </c>
      <c r="B1383" t="s">
        <v>10</v>
      </c>
      <c r="C1383">
        <v>92.96</v>
      </c>
      <c r="D1383">
        <v>93.730410000000006</v>
      </c>
      <c r="E1383" s="1">
        <v>45078</v>
      </c>
    </row>
    <row r="1384" spans="1:5" x14ac:dyDescent="0.25">
      <c r="A1384" t="s">
        <v>12</v>
      </c>
      <c r="B1384" t="s">
        <v>10</v>
      </c>
      <c r="C1384">
        <v>92.78</v>
      </c>
      <c r="D1384">
        <v>93.904030000000006</v>
      </c>
      <c r="E1384" s="1">
        <v>45108</v>
      </c>
    </row>
    <row r="1385" spans="1:5" x14ac:dyDescent="0.25">
      <c r="A1385" t="s">
        <v>12</v>
      </c>
      <c r="B1385" t="s">
        <v>10</v>
      </c>
      <c r="C1385">
        <v>89.28</v>
      </c>
      <c r="D1385">
        <v>94.891260000000003</v>
      </c>
      <c r="E1385" s="1">
        <v>45139</v>
      </c>
    </row>
    <row r="1386" spans="1:5" x14ac:dyDescent="0.25">
      <c r="A1386" t="s">
        <v>12</v>
      </c>
      <c r="B1386" t="s">
        <v>10</v>
      </c>
      <c r="C1386">
        <v>89.96</v>
      </c>
      <c r="D1386">
        <v>91.615480000000005</v>
      </c>
      <c r="E1386" s="1">
        <v>45170</v>
      </c>
    </row>
    <row r="1387" spans="1:5" x14ac:dyDescent="0.25">
      <c r="A1387" t="s">
        <v>12</v>
      </c>
      <c r="B1387" t="s">
        <v>10</v>
      </c>
      <c r="C1387">
        <v>88.54</v>
      </c>
      <c r="D1387">
        <v>90.367919999999998</v>
      </c>
      <c r="E1387" s="1">
        <v>45200</v>
      </c>
    </row>
    <row r="1388" spans="1:5" x14ac:dyDescent="0.25">
      <c r="A1388" t="s">
        <v>12</v>
      </c>
      <c r="B1388" t="s">
        <v>10</v>
      </c>
      <c r="C1388">
        <v>88.34</v>
      </c>
      <c r="D1388">
        <v>89.92259</v>
      </c>
      <c r="E1388" s="1">
        <v>45231</v>
      </c>
    </row>
    <row r="1389" spans="1:5" x14ac:dyDescent="0.25">
      <c r="A1389" t="s">
        <v>12</v>
      </c>
      <c r="B1389" t="s">
        <v>10</v>
      </c>
      <c r="C1389">
        <v>88.54</v>
      </c>
      <c r="D1389">
        <v>90.863150000000005</v>
      </c>
      <c r="E1389" s="1">
        <v>45261</v>
      </c>
    </row>
    <row r="1390" spans="1:5" x14ac:dyDescent="0.25">
      <c r="A1390" t="s">
        <v>12</v>
      </c>
      <c r="B1390" t="s">
        <v>10</v>
      </c>
      <c r="C1390">
        <v>93.1</v>
      </c>
      <c r="D1390">
        <v>89.563900000000004</v>
      </c>
      <c r="E1390" s="1">
        <v>45292</v>
      </c>
    </row>
    <row r="1391" spans="1:5" x14ac:dyDescent="0.25">
      <c r="A1391" t="s">
        <v>12</v>
      </c>
      <c r="B1391" t="s">
        <v>10</v>
      </c>
      <c r="C1391">
        <v>90.26</v>
      </c>
      <c r="D1391">
        <v>82.650580000000005</v>
      </c>
      <c r="E1391" s="1">
        <v>45323</v>
      </c>
    </row>
    <row r="1392" spans="1:5" x14ac:dyDescent="0.25">
      <c r="A1392" t="s">
        <v>12</v>
      </c>
      <c r="B1392" t="s">
        <v>10</v>
      </c>
      <c r="C1392">
        <v>90.74</v>
      </c>
      <c r="D1392">
        <v>87.936430000000001</v>
      </c>
      <c r="E1392" s="1">
        <v>45352</v>
      </c>
    </row>
    <row r="1393" spans="1:5" x14ac:dyDescent="0.25">
      <c r="A1393" t="s">
        <v>12</v>
      </c>
      <c r="B1393" t="s">
        <v>10</v>
      </c>
      <c r="C1393">
        <v>91.74</v>
      </c>
      <c r="D1393">
        <v>90.265339999999995</v>
      </c>
      <c r="E1393" s="1">
        <v>45383</v>
      </c>
    </row>
    <row r="1394" spans="1:5" x14ac:dyDescent="0.25">
      <c r="A1394" t="s">
        <v>12</v>
      </c>
      <c r="B1394" t="s">
        <v>10</v>
      </c>
      <c r="C1394">
        <v>87.6</v>
      </c>
      <c r="D1394">
        <v>89.553629999999998</v>
      </c>
      <c r="E1394" s="1">
        <v>45413</v>
      </c>
    </row>
    <row r="1395" spans="1:5" x14ac:dyDescent="0.25">
      <c r="A1395" t="s">
        <v>12</v>
      </c>
      <c r="B1395" t="s">
        <v>10</v>
      </c>
      <c r="C1395">
        <v>91.57</v>
      </c>
      <c r="D1395">
        <v>91.314279999999997</v>
      </c>
      <c r="E1395" s="1">
        <v>45444</v>
      </c>
    </row>
    <row r="1396" spans="1:5" x14ac:dyDescent="0.25">
      <c r="A1396" t="s">
        <v>12</v>
      </c>
      <c r="B1396" t="s">
        <v>10</v>
      </c>
      <c r="C1396">
        <v>89.56</v>
      </c>
      <c r="D1396">
        <v>93.357280000000003</v>
      </c>
      <c r="E1396" s="1">
        <v>45474</v>
      </c>
    </row>
    <row r="1397" spans="1:5" x14ac:dyDescent="0.25">
      <c r="A1397" t="s">
        <v>12</v>
      </c>
      <c r="B1397" t="s">
        <v>10</v>
      </c>
      <c r="C1397">
        <v>90.8</v>
      </c>
      <c r="D1397">
        <v>94.911680000000004</v>
      </c>
      <c r="E1397" s="1">
        <v>45505</v>
      </c>
    </row>
    <row r="1398" spans="1:5" x14ac:dyDescent="0.25">
      <c r="A1398" t="s">
        <v>12</v>
      </c>
      <c r="B1398" t="s">
        <v>10</v>
      </c>
      <c r="C1398">
        <v>91.02</v>
      </c>
      <c r="D1398">
        <v>92.098029999999994</v>
      </c>
      <c r="E1398" s="1">
        <v>45536</v>
      </c>
    </row>
    <row r="1399" spans="1:5" x14ac:dyDescent="0.25">
      <c r="A1399" t="s">
        <v>12</v>
      </c>
      <c r="B1399" t="s">
        <v>10</v>
      </c>
      <c r="C1399">
        <v>95.68</v>
      </c>
      <c r="D1399">
        <v>99.624859999999998</v>
      </c>
      <c r="E1399" s="1">
        <v>45566</v>
      </c>
    </row>
    <row r="1400" spans="1:5" x14ac:dyDescent="0.25">
      <c r="A1400" t="s">
        <v>12</v>
      </c>
      <c r="B1400" t="s">
        <v>10</v>
      </c>
      <c r="C1400">
        <v>91.99</v>
      </c>
      <c r="D1400">
        <v>92.470330000000004</v>
      </c>
      <c r="E1400" s="1">
        <v>45597</v>
      </c>
    </row>
    <row r="1401" spans="1:5" x14ac:dyDescent="0.25">
      <c r="A1401" t="s">
        <v>12</v>
      </c>
      <c r="B1401" t="s">
        <v>10</v>
      </c>
      <c r="C1401">
        <v>90.77</v>
      </c>
      <c r="D1401">
        <v>93.889279999999999</v>
      </c>
      <c r="E1401" s="1">
        <v>45627</v>
      </c>
    </row>
    <row r="1402" spans="1:5" x14ac:dyDescent="0.25">
      <c r="A1402" t="s">
        <v>12</v>
      </c>
      <c r="B1402" t="s">
        <v>10</v>
      </c>
      <c r="C1402">
        <v>91.36</v>
      </c>
      <c r="D1402">
        <v>87.695359999999994</v>
      </c>
      <c r="E1402" s="1">
        <v>45658</v>
      </c>
    </row>
    <row r="1403" spans="1:5" x14ac:dyDescent="0.25">
      <c r="A1403" t="s">
        <v>12</v>
      </c>
      <c r="B1403" t="s">
        <v>10</v>
      </c>
      <c r="C1403">
        <v>89.94</v>
      </c>
      <c r="D1403">
        <v>82.51558</v>
      </c>
      <c r="E1403" s="1">
        <v>45689</v>
      </c>
    </row>
    <row r="1404" spans="1:5" x14ac:dyDescent="0.25">
      <c r="A1404" t="s">
        <v>12</v>
      </c>
      <c r="B1404" t="s">
        <v>10</v>
      </c>
      <c r="C1404">
        <v>90.05</v>
      </c>
      <c r="D1404">
        <v>85.498159999999999</v>
      </c>
      <c r="E1404" s="1">
        <v>45717</v>
      </c>
    </row>
    <row r="1405" spans="1:5" x14ac:dyDescent="0.25">
      <c r="A1405" t="s">
        <v>12</v>
      </c>
      <c r="B1405" t="s">
        <v>10</v>
      </c>
      <c r="C1405">
        <v>91.22</v>
      </c>
      <c r="D1405">
        <v>88.462469999999996</v>
      </c>
      <c r="E1405" s="1">
        <v>45748</v>
      </c>
    </row>
    <row r="1406" spans="1:5" x14ac:dyDescent="0.25">
      <c r="A1406" t="s">
        <v>12</v>
      </c>
      <c r="B1406" t="s">
        <v>10</v>
      </c>
      <c r="C1406">
        <v>92.09</v>
      </c>
      <c r="D1406">
        <v>93.801959999999994</v>
      </c>
      <c r="E1406" s="1">
        <v>45778</v>
      </c>
    </row>
    <row r="1407" spans="1:5" x14ac:dyDescent="0.25">
      <c r="A1407" t="s">
        <v>12</v>
      </c>
      <c r="B1407" t="s">
        <v>10</v>
      </c>
      <c r="C1407">
        <v>93.92</v>
      </c>
      <c r="D1407">
        <v>93.63091</v>
      </c>
      <c r="E1407" s="1">
        <v>45809</v>
      </c>
    </row>
    <row r="1408" spans="1:5" x14ac:dyDescent="0.25">
      <c r="A1408" t="s">
        <v>12</v>
      </c>
      <c r="B1408" t="s">
        <v>10</v>
      </c>
      <c r="C1408">
        <v>94.26</v>
      </c>
      <c r="D1408">
        <v>98.420429999999996</v>
      </c>
      <c r="E1408" s="1">
        <v>45839</v>
      </c>
    </row>
    <row r="1409" spans="1:5" x14ac:dyDescent="0.25">
      <c r="A1409" t="s">
        <v>12</v>
      </c>
      <c r="B1409" t="s">
        <v>10</v>
      </c>
      <c r="C1409">
        <v>93.56</v>
      </c>
      <c r="D1409">
        <v>96.330960000000005</v>
      </c>
      <c r="E1409" s="1">
        <v>45870</v>
      </c>
    </row>
    <row r="1410" spans="1:5" x14ac:dyDescent="0.25">
      <c r="A1410" t="s">
        <v>12</v>
      </c>
      <c r="B1410" t="s">
        <v>9</v>
      </c>
      <c r="C1410">
        <v>103.1</v>
      </c>
      <c r="D1410">
        <v>100.2371</v>
      </c>
      <c r="E1410" s="1">
        <v>40544</v>
      </c>
    </row>
    <row r="1411" spans="1:5" x14ac:dyDescent="0.25">
      <c r="A1411" t="s">
        <v>12</v>
      </c>
      <c r="B1411" t="s">
        <v>9</v>
      </c>
      <c r="C1411">
        <v>105.54</v>
      </c>
      <c r="D1411">
        <v>100.18253</v>
      </c>
      <c r="E1411" s="1">
        <v>40575</v>
      </c>
    </row>
    <row r="1412" spans="1:5" x14ac:dyDescent="0.25">
      <c r="A1412" t="s">
        <v>12</v>
      </c>
      <c r="B1412" t="s">
        <v>9</v>
      </c>
      <c r="C1412">
        <v>105.81</v>
      </c>
      <c r="D1412">
        <v>102.07671000000001</v>
      </c>
      <c r="E1412" s="1">
        <v>40603</v>
      </c>
    </row>
    <row r="1413" spans="1:5" x14ac:dyDescent="0.25">
      <c r="A1413" t="s">
        <v>12</v>
      </c>
      <c r="B1413" t="s">
        <v>9</v>
      </c>
      <c r="C1413">
        <v>106.85</v>
      </c>
      <c r="D1413">
        <v>105.1336</v>
      </c>
      <c r="E1413" s="1">
        <v>40634</v>
      </c>
    </row>
    <row r="1414" spans="1:5" x14ac:dyDescent="0.25">
      <c r="A1414" t="s">
        <v>12</v>
      </c>
      <c r="B1414" t="s">
        <v>9</v>
      </c>
      <c r="C1414">
        <v>108.09</v>
      </c>
      <c r="D1414">
        <v>107.51837999999999</v>
      </c>
      <c r="E1414" s="1">
        <v>40664</v>
      </c>
    </row>
    <row r="1415" spans="1:5" x14ac:dyDescent="0.25">
      <c r="A1415" t="s">
        <v>12</v>
      </c>
      <c r="B1415" t="s">
        <v>9</v>
      </c>
      <c r="C1415">
        <v>107.22</v>
      </c>
      <c r="D1415">
        <v>104.59078</v>
      </c>
      <c r="E1415" s="1">
        <v>40695</v>
      </c>
    </row>
    <row r="1416" spans="1:5" x14ac:dyDescent="0.25">
      <c r="A1416" t="s">
        <v>12</v>
      </c>
      <c r="B1416" t="s">
        <v>9</v>
      </c>
      <c r="C1416">
        <v>106.23</v>
      </c>
      <c r="D1416">
        <v>105.97848</v>
      </c>
      <c r="E1416" s="1">
        <v>40725</v>
      </c>
    </row>
    <row r="1417" spans="1:5" x14ac:dyDescent="0.25">
      <c r="A1417" t="s">
        <v>12</v>
      </c>
      <c r="B1417" t="s">
        <v>9</v>
      </c>
      <c r="C1417">
        <v>111.51</v>
      </c>
      <c r="D1417">
        <v>109.96011</v>
      </c>
      <c r="E1417" s="1">
        <v>40756</v>
      </c>
    </row>
    <row r="1418" spans="1:5" x14ac:dyDescent="0.25">
      <c r="A1418" t="s">
        <v>12</v>
      </c>
      <c r="B1418" t="s">
        <v>9</v>
      </c>
      <c r="C1418">
        <v>107.97</v>
      </c>
      <c r="D1418">
        <v>106.31347</v>
      </c>
      <c r="E1418" s="1">
        <v>40787</v>
      </c>
    </row>
    <row r="1419" spans="1:5" x14ac:dyDescent="0.25">
      <c r="A1419" t="s">
        <v>12</v>
      </c>
      <c r="B1419" t="s">
        <v>9</v>
      </c>
      <c r="C1419">
        <v>105.25</v>
      </c>
      <c r="D1419">
        <v>106.76595</v>
      </c>
      <c r="E1419" s="1">
        <v>40817</v>
      </c>
    </row>
    <row r="1420" spans="1:5" x14ac:dyDescent="0.25">
      <c r="A1420" t="s">
        <v>12</v>
      </c>
      <c r="B1420" t="s">
        <v>9</v>
      </c>
      <c r="C1420">
        <v>110.22</v>
      </c>
      <c r="D1420">
        <v>114.32514</v>
      </c>
      <c r="E1420" s="1">
        <v>40848</v>
      </c>
    </row>
    <row r="1421" spans="1:5" x14ac:dyDescent="0.25">
      <c r="A1421" t="s">
        <v>12</v>
      </c>
      <c r="B1421" t="s">
        <v>9</v>
      </c>
      <c r="C1421">
        <v>107.88</v>
      </c>
      <c r="D1421">
        <v>122.52719</v>
      </c>
      <c r="E1421" s="1">
        <v>40878</v>
      </c>
    </row>
    <row r="1422" spans="1:5" x14ac:dyDescent="0.25">
      <c r="A1422" t="s">
        <v>12</v>
      </c>
      <c r="B1422" t="s">
        <v>9</v>
      </c>
      <c r="C1422">
        <v>110.09</v>
      </c>
      <c r="D1422">
        <v>107.40846999999999</v>
      </c>
      <c r="E1422" s="1">
        <v>40909</v>
      </c>
    </row>
    <row r="1423" spans="1:5" x14ac:dyDescent="0.25">
      <c r="A1423" t="s">
        <v>12</v>
      </c>
      <c r="B1423" t="s">
        <v>9</v>
      </c>
      <c r="C1423">
        <v>111.53</v>
      </c>
      <c r="D1423">
        <v>103.31067</v>
      </c>
      <c r="E1423" s="1">
        <v>40940</v>
      </c>
    </row>
    <row r="1424" spans="1:5" x14ac:dyDescent="0.25">
      <c r="A1424" t="s">
        <v>12</v>
      </c>
      <c r="B1424" t="s">
        <v>9</v>
      </c>
      <c r="C1424">
        <v>110.88</v>
      </c>
      <c r="D1424">
        <v>109.14321</v>
      </c>
      <c r="E1424" s="1">
        <v>40969</v>
      </c>
    </row>
    <row r="1425" spans="1:5" x14ac:dyDescent="0.25">
      <c r="A1425" t="s">
        <v>12</v>
      </c>
      <c r="B1425" t="s">
        <v>9</v>
      </c>
      <c r="C1425">
        <v>110.16</v>
      </c>
      <c r="D1425">
        <v>108.13535</v>
      </c>
      <c r="E1425" s="1">
        <v>41000</v>
      </c>
    </row>
    <row r="1426" spans="1:5" x14ac:dyDescent="0.25">
      <c r="A1426" t="s">
        <v>12</v>
      </c>
      <c r="B1426" t="s">
        <v>9</v>
      </c>
      <c r="C1426">
        <v>111.22</v>
      </c>
      <c r="D1426">
        <v>110.77567000000001</v>
      </c>
      <c r="E1426" s="1">
        <v>41030</v>
      </c>
    </row>
    <row r="1427" spans="1:5" x14ac:dyDescent="0.25">
      <c r="A1427" t="s">
        <v>12</v>
      </c>
      <c r="B1427" t="s">
        <v>9</v>
      </c>
      <c r="C1427">
        <v>111.48</v>
      </c>
      <c r="D1427">
        <v>109.16727</v>
      </c>
      <c r="E1427" s="1">
        <v>41061</v>
      </c>
    </row>
    <row r="1428" spans="1:5" x14ac:dyDescent="0.25">
      <c r="A1428" t="s">
        <v>12</v>
      </c>
      <c r="B1428" t="s">
        <v>9</v>
      </c>
      <c r="C1428">
        <v>112.64</v>
      </c>
      <c r="D1428">
        <v>112.92558</v>
      </c>
      <c r="E1428" s="1">
        <v>41091</v>
      </c>
    </row>
    <row r="1429" spans="1:5" x14ac:dyDescent="0.25">
      <c r="A1429" t="s">
        <v>12</v>
      </c>
      <c r="B1429" t="s">
        <v>9</v>
      </c>
      <c r="C1429">
        <v>110.21</v>
      </c>
      <c r="D1429">
        <v>108.41276000000001</v>
      </c>
      <c r="E1429" s="1">
        <v>41122</v>
      </c>
    </row>
    <row r="1430" spans="1:5" x14ac:dyDescent="0.25">
      <c r="A1430" t="s">
        <v>12</v>
      </c>
      <c r="B1430" t="s">
        <v>9</v>
      </c>
      <c r="C1430">
        <v>110.01</v>
      </c>
      <c r="D1430">
        <v>106.27497</v>
      </c>
      <c r="E1430" s="1">
        <v>41153</v>
      </c>
    </row>
    <row r="1431" spans="1:5" x14ac:dyDescent="0.25">
      <c r="A1431" t="s">
        <v>12</v>
      </c>
      <c r="B1431" t="s">
        <v>9</v>
      </c>
      <c r="C1431">
        <v>110.08</v>
      </c>
      <c r="D1431">
        <v>113.31802</v>
      </c>
      <c r="E1431" s="1">
        <v>41183</v>
      </c>
    </row>
    <row r="1432" spans="1:5" x14ac:dyDescent="0.25">
      <c r="A1432" t="s">
        <v>12</v>
      </c>
      <c r="B1432" t="s">
        <v>9</v>
      </c>
      <c r="C1432">
        <v>108.8</v>
      </c>
      <c r="D1432">
        <v>113.54907</v>
      </c>
      <c r="E1432" s="1">
        <v>41214</v>
      </c>
    </row>
    <row r="1433" spans="1:5" x14ac:dyDescent="0.25">
      <c r="A1433" t="s">
        <v>12</v>
      </c>
      <c r="B1433" t="s">
        <v>9</v>
      </c>
      <c r="C1433">
        <v>111.58</v>
      </c>
      <c r="D1433">
        <v>125.54719</v>
      </c>
      <c r="E1433" s="1">
        <v>41244</v>
      </c>
    </row>
    <row r="1434" spans="1:5" x14ac:dyDescent="0.25">
      <c r="A1434" t="s">
        <v>12</v>
      </c>
      <c r="B1434" t="s">
        <v>9</v>
      </c>
      <c r="C1434">
        <v>112.42</v>
      </c>
      <c r="D1434">
        <v>109.70937000000001</v>
      </c>
      <c r="E1434" s="1">
        <v>41275</v>
      </c>
    </row>
    <row r="1435" spans="1:5" x14ac:dyDescent="0.25">
      <c r="A1435" t="s">
        <v>12</v>
      </c>
      <c r="B1435" t="s">
        <v>9</v>
      </c>
      <c r="C1435">
        <v>110.98</v>
      </c>
      <c r="D1435">
        <v>103.31059999999999</v>
      </c>
      <c r="E1435" s="1">
        <v>41306</v>
      </c>
    </row>
    <row r="1436" spans="1:5" x14ac:dyDescent="0.25">
      <c r="A1436" t="s">
        <v>12</v>
      </c>
      <c r="B1436" t="s">
        <v>9</v>
      </c>
      <c r="C1436">
        <v>110.74</v>
      </c>
      <c r="D1436">
        <v>106.56596999999999</v>
      </c>
      <c r="E1436" s="1">
        <v>41334</v>
      </c>
    </row>
    <row r="1437" spans="1:5" x14ac:dyDescent="0.25">
      <c r="A1437" t="s">
        <v>12</v>
      </c>
      <c r="B1437" t="s">
        <v>9</v>
      </c>
      <c r="C1437">
        <v>111.44</v>
      </c>
      <c r="D1437">
        <v>111.91269</v>
      </c>
      <c r="E1437" s="1">
        <v>41365</v>
      </c>
    </row>
    <row r="1438" spans="1:5" x14ac:dyDescent="0.25">
      <c r="A1438" t="s">
        <v>12</v>
      </c>
      <c r="B1438" t="s">
        <v>9</v>
      </c>
      <c r="C1438">
        <v>110.47</v>
      </c>
      <c r="D1438">
        <v>110.12339</v>
      </c>
      <c r="E1438" s="1">
        <v>41395</v>
      </c>
    </row>
    <row r="1439" spans="1:5" x14ac:dyDescent="0.25">
      <c r="A1439" t="s">
        <v>12</v>
      </c>
      <c r="B1439" t="s">
        <v>9</v>
      </c>
      <c r="C1439">
        <v>112.26</v>
      </c>
      <c r="D1439">
        <v>108.9496</v>
      </c>
      <c r="E1439" s="1">
        <v>41426</v>
      </c>
    </row>
    <row r="1440" spans="1:5" x14ac:dyDescent="0.25">
      <c r="A1440" t="s">
        <v>12</v>
      </c>
      <c r="B1440" t="s">
        <v>9</v>
      </c>
      <c r="C1440">
        <v>112.15</v>
      </c>
      <c r="D1440">
        <v>113.84273</v>
      </c>
      <c r="E1440" s="1">
        <v>41456</v>
      </c>
    </row>
    <row r="1441" spans="1:5" x14ac:dyDescent="0.25">
      <c r="A1441" t="s">
        <v>12</v>
      </c>
      <c r="B1441" t="s">
        <v>9</v>
      </c>
      <c r="C1441">
        <v>113.22</v>
      </c>
      <c r="D1441">
        <v>110.81520999999999</v>
      </c>
      <c r="E1441" s="1">
        <v>41487</v>
      </c>
    </row>
    <row r="1442" spans="1:5" x14ac:dyDescent="0.25">
      <c r="A1442" t="s">
        <v>12</v>
      </c>
      <c r="B1442" t="s">
        <v>9</v>
      </c>
      <c r="C1442">
        <v>112.38</v>
      </c>
      <c r="D1442">
        <v>110.42402</v>
      </c>
      <c r="E1442" s="1">
        <v>41518</v>
      </c>
    </row>
    <row r="1443" spans="1:5" x14ac:dyDescent="0.25">
      <c r="A1443" t="s">
        <v>12</v>
      </c>
      <c r="B1443" t="s">
        <v>9</v>
      </c>
      <c r="C1443">
        <v>111.71</v>
      </c>
      <c r="D1443">
        <v>114.12143</v>
      </c>
      <c r="E1443" s="1">
        <v>41548</v>
      </c>
    </row>
    <row r="1444" spans="1:5" x14ac:dyDescent="0.25">
      <c r="A1444" t="s">
        <v>12</v>
      </c>
      <c r="B1444" t="s">
        <v>9</v>
      </c>
      <c r="C1444">
        <v>114.02</v>
      </c>
      <c r="D1444">
        <v>118.37894</v>
      </c>
      <c r="E1444" s="1">
        <v>41579</v>
      </c>
    </row>
    <row r="1445" spans="1:5" x14ac:dyDescent="0.25">
      <c r="A1445" t="s">
        <v>12</v>
      </c>
      <c r="B1445" t="s">
        <v>9</v>
      </c>
      <c r="C1445">
        <v>110.28</v>
      </c>
      <c r="D1445">
        <v>124.82702999999999</v>
      </c>
      <c r="E1445" s="1">
        <v>41609</v>
      </c>
    </row>
    <row r="1446" spans="1:5" x14ac:dyDescent="0.25">
      <c r="A1446" t="s">
        <v>12</v>
      </c>
      <c r="B1446" t="s">
        <v>9</v>
      </c>
      <c r="C1446">
        <v>118.24</v>
      </c>
      <c r="D1446">
        <v>115.90289</v>
      </c>
      <c r="E1446" s="1">
        <v>41640</v>
      </c>
    </row>
    <row r="1447" spans="1:5" x14ac:dyDescent="0.25">
      <c r="A1447" t="s">
        <v>12</v>
      </c>
      <c r="B1447" t="s">
        <v>9</v>
      </c>
      <c r="C1447">
        <v>112.47</v>
      </c>
      <c r="D1447">
        <v>105.14068</v>
      </c>
      <c r="E1447" s="1">
        <v>41671</v>
      </c>
    </row>
    <row r="1448" spans="1:5" x14ac:dyDescent="0.25">
      <c r="A1448" t="s">
        <v>12</v>
      </c>
      <c r="B1448" t="s">
        <v>9</v>
      </c>
      <c r="C1448">
        <v>112.02</v>
      </c>
      <c r="D1448">
        <v>108.39524</v>
      </c>
      <c r="E1448" s="1">
        <v>41699</v>
      </c>
    </row>
    <row r="1449" spans="1:5" x14ac:dyDescent="0.25">
      <c r="A1449" t="s">
        <v>12</v>
      </c>
      <c r="B1449" t="s">
        <v>9</v>
      </c>
      <c r="C1449">
        <v>112.31</v>
      </c>
      <c r="D1449">
        <v>110.44676</v>
      </c>
      <c r="E1449" s="1">
        <v>41730</v>
      </c>
    </row>
    <row r="1450" spans="1:5" x14ac:dyDescent="0.25">
      <c r="A1450" t="s">
        <v>12</v>
      </c>
      <c r="B1450" t="s">
        <v>9</v>
      </c>
      <c r="C1450">
        <v>112.55</v>
      </c>
      <c r="D1450">
        <v>112.31323999999999</v>
      </c>
      <c r="E1450" s="1">
        <v>41760</v>
      </c>
    </row>
    <row r="1451" spans="1:5" x14ac:dyDescent="0.25">
      <c r="A1451" t="s">
        <v>12</v>
      </c>
      <c r="B1451" t="s">
        <v>9</v>
      </c>
      <c r="C1451">
        <v>110.35</v>
      </c>
      <c r="D1451">
        <v>108.06383</v>
      </c>
      <c r="E1451" s="1">
        <v>41791</v>
      </c>
    </row>
    <row r="1452" spans="1:5" x14ac:dyDescent="0.25">
      <c r="A1452" t="s">
        <v>12</v>
      </c>
      <c r="B1452" t="s">
        <v>9</v>
      </c>
      <c r="C1452">
        <v>112.11</v>
      </c>
      <c r="D1452">
        <v>112.89013</v>
      </c>
      <c r="E1452" s="1">
        <v>41821</v>
      </c>
    </row>
    <row r="1453" spans="1:5" x14ac:dyDescent="0.25">
      <c r="A1453" t="s">
        <v>12</v>
      </c>
      <c r="B1453" t="s">
        <v>9</v>
      </c>
      <c r="C1453">
        <v>113.1</v>
      </c>
      <c r="D1453">
        <v>109.95343</v>
      </c>
      <c r="E1453" s="1">
        <v>41852</v>
      </c>
    </row>
    <row r="1454" spans="1:5" x14ac:dyDescent="0.25">
      <c r="A1454" t="s">
        <v>12</v>
      </c>
      <c r="B1454" t="s">
        <v>9</v>
      </c>
      <c r="C1454">
        <v>117.21</v>
      </c>
      <c r="D1454">
        <v>116.53166</v>
      </c>
      <c r="E1454" s="1">
        <v>41883</v>
      </c>
    </row>
    <row r="1455" spans="1:5" x14ac:dyDescent="0.25">
      <c r="A1455" t="s">
        <v>12</v>
      </c>
      <c r="B1455" t="s">
        <v>9</v>
      </c>
      <c r="C1455">
        <v>115.65</v>
      </c>
      <c r="D1455">
        <v>119.31353</v>
      </c>
      <c r="E1455" s="1">
        <v>41913</v>
      </c>
    </row>
    <row r="1456" spans="1:5" x14ac:dyDescent="0.25">
      <c r="A1456" t="s">
        <v>12</v>
      </c>
      <c r="B1456" t="s">
        <v>9</v>
      </c>
      <c r="C1456">
        <v>114.55</v>
      </c>
      <c r="D1456">
        <v>117.10787000000001</v>
      </c>
      <c r="E1456" s="1">
        <v>41944</v>
      </c>
    </row>
    <row r="1457" spans="1:5" x14ac:dyDescent="0.25">
      <c r="A1457" t="s">
        <v>12</v>
      </c>
      <c r="B1457" t="s">
        <v>9</v>
      </c>
      <c r="C1457">
        <v>116.7</v>
      </c>
      <c r="D1457">
        <v>132.89111</v>
      </c>
      <c r="E1457" s="1">
        <v>41974</v>
      </c>
    </row>
    <row r="1458" spans="1:5" x14ac:dyDescent="0.25">
      <c r="A1458" t="s">
        <v>12</v>
      </c>
      <c r="B1458" t="s">
        <v>9</v>
      </c>
      <c r="C1458">
        <v>118.03</v>
      </c>
      <c r="D1458">
        <v>113.97405999999999</v>
      </c>
      <c r="E1458" s="1">
        <v>42005</v>
      </c>
    </row>
    <row r="1459" spans="1:5" x14ac:dyDescent="0.25">
      <c r="A1459" t="s">
        <v>12</v>
      </c>
      <c r="B1459" t="s">
        <v>9</v>
      </c>
      <c r="C1459">
        <v>113.78</v>
      </c>
      <c r="D1459">
        <v>104.33298000000001</v>
      </c>
      <c r="E1459" s="1">
        <v>42036</v>
      </c>
    </row>
    <row r="1460" spans="1:5" x14ac:dyDescent="0.25">
      <c r="A1460" t="s">
        <v>12</v>
      </c>
      <c r="B1460" t="s">
        <v>9</v>
      </c>
      <c r="C1460">
        <v>118.41</v>
      </c>
      <c r="D1460">
        <v>116.03348</v>
      </c>
      <c r="E1460" s="1">
        <v>42064</v>
      </c>
    </row>
    <row r="1461" spans="1:5" x14ac:dyDescent="0.25">
      <c r="A1461" t="s">
        <v>12</v>
      </c>
      <c r="B1461" t="s">
        <v>9</v>
      </c>
      <c r="C1461">
        <v>117.29</v>
      </c>
      <c r="D1461">
        <v>115.59356</v>
      </c>
      <c r="E1461" s="1">
        <v>42095</v>
      </c>
    </row>
    <row r="1462" spans="1:5" x14ac:dyDescent="0.25">
      <c r="A1462" t="s">
        <v>12</v>
      </c>
      <c r="B1462" t="s">
        <v>9</v>
      </c>
      <c r="C1462">
        <v>116.01</v>
      </c>
      <c r="D1462">
        <v>114.94674999999999</v>
      </c>
      <c r="E1462" s="1">
        <v>42125</v>
      </c>
    </row>
    <row r="1463" spans="1:5" x14ac:dyDescent="0.25">
      <c r="A1463" t="s">
        <v>12</v>
      </c>
      <c r="B1463" t="s">
        <v>9</v>
      </c>
      <c r="C1463">
        <v>116.63</v>
      </c>
      <c r="D1463">
        <v>115.40106</v>
      </c>
      <c r="E1463" s="1">
        <v>42156</v>
      </c>
    </row>
    <row r="1464" spans="1:5" x14ac:dyDescent="0.25">
      <c r="A1464" t="s">
        <v>12</v>
      </c>
      <c r="B1464" t="s">
        <v>9</v>
      </c>
      <c r="C1464">
        <v>113.28</v>
      </c>
      <c r="D1464">
        <v>115.34016</v>
      </c>
      <c r="E1464" s="1">
        <v>42186</v>
      </c>
    </row>
    <row r="1465" spans="1:5" x14ac:dyDescent="0.25">
      <c r="A1465" t="s">
        <v>12</v>
      </c>
      <c r="B1465" t="s">
        <v>9</v>
      </c>
      <c r="C1465">
        <v>110.85</v>
      </c>
      <c r="D1465">
        <v>108.42182</v>
      </c>
      <c r="E1465" s="1">
        <v>42217</v>
      </c>
    </row>
    <row r="1466" spans="1:5" x14ac:dyDescent="0.25">
      <c r="A1466" t="s">
        <v>12</v>
      </c>
      <c r="B1466" t="s">
        <v>9</v>
      </c>
      <c r="C1466">
        <v>111.23</v>
      </c>
      <c r="D1466">
        <v>110.16776</v>
      </c>
      <c r="E1466" s="1">
        <v>42248</v>
      </c>
    </row>
    <row r="1467" spans="1:5" x14ac:dyDescent="0.25">
      <c r="A1467" t="s">
        <v>12</v>
      </c>
      <c r="B1467" t="s">
        <v>9</v>
      </c>
      <c r="C1467">
        <v>111.29</v>
      </c>
      <c r="D1467">
        <v>114.71038</v>
      </c>
      <c r="E1467" s="1">
        <v>42278</v>
      </c>
    </row>
    <row r="1468" spans="1:5" x14ac:dyDescent="0.25">
      <c r="A1468" t="s">
        <v>12</v>
      </c>
      <c r="B1468" t="s">
        <v>9</v>
      </c>
      <c r="C1468">
        <v>110.82</v>
      </c>
      <c r="D1468">
        <v>114.97358</v>
      </c>
      <c r="E1468" s="1">
        <v>42309</v>
      </c>
    </row>
    <row r="1469" spans="1:5" x14ac:dyDescent="0.25">
      <c r="A1469" t="s">
        <v>12</v>
      </c>
      <c r="B1469" t="s">
        <v>9</v>
      </c>
      <c r="C1469">
        <v>109.16</v>
      </c>
      <c r="D1469">
        <v>124.68794</v>
      </c>
      <c r="E1469" s="1">
        <v>42339</v>
      </c>
    </row>
    <row r="1470" spans="1:5" x14ac:dyDescent="0.25">
      <c r="A1470" t="s">
        <v>12</v>
      </c>
      <c r="B1470" t="s">
        <v>9</v>
      </c>
      <c r="C1470">
        <v>112.21</v>
      </c>
      <c r="D1470">
        <v>105.61015999999999</v>
      </c>
      <c r="E1470" s="1">
        <v>42370</v>
      </c>
    </row>
    <row r="1471" spans="1:5" x14ac:dyDescent="0.25">
      <c r="A1471" t="s">
        <v>12</v>
      </c>
      <c r="B1471" t="s">
        <v>9</v>
      </c>
      <c r="C1471">
        <v>112.15</v>
      </c>
      <c r="D1471">
        <v>101.62694</v>
      </c>
      <c r="E1471" s="1">
        <v>42401</v>
      </c>
    </row>
    <row r="1472" spans="1:5" x14ac:dyDescent="0.25">
      <c r="A1472" t="s">
        <v>12</v>
      </c>
      <c r="B1472" t="s">
        <v>9</v>
      </c>
      <c r="C1472">
        <v>112.79</v>
      </c>
      <c r="D1472">
        <v>108.71850999999999</v>
      </c>
      <c r="E1472" s="1">
        <v>42430</v>
      </c>
    </row>
    <row r="1473" spans="1:5" x14ac:dyDescent="0.25">
      <c r="A1473" t="s">
        <v>12</v>
      </c>
      <c r="B1473" t="s">
        <v>9</v>
      </c>
      <c r="C1473">
        <v>112.43</v>
      </c>
      <c r="D1473">
        <v>112.48465</v>
      </c>
      <c r="E1473" s="1">
        <v>42461</v>
      </c>
    </row>
    <row r="1474" spans="1:5" x14ac:dyDescent="0.25">
      <c r="A1474" t="s">
        <v>12</v>
      </c>
      <c r="B1474" t="s">
        <v>9</v>
      </c>
      <c r="C1474">
        <v>111.39</v>
      </c>
      <c r="D1474">
        <v>108.91942</v>
      </c>
      <c r="E1474" s="1">
        <v>42491</v>
      </c>
    </row>
    <row r="1475" spans="1:5" x14ac:dyDescent="0.25">
      <c r="A1475" t="s">
        <v>12</v>
      </c>
      <c r="B1475" t="s">
        <v>9</v>
      </c>
      <c r="C1475">
        <v>111.7</v>
      </c>
      <c r="D1475">
        <v>112.24771</v>
      </c>
      <c r="E1475" s="1">
        <v>42522</v>
      </c>
    </row>
    <row r="1476" spans="1:5" x14ac:dyDescent="0.25">
      <c r="A1476" t="s">
        <v>12</v>
      </c>
      <c r="B1476" t="s">
        <v>9</v>
      </c>
      <c r="C1476">
        <v>116.03</v>
      </c>
      <c r="D1476">
        <v>116.66691</v>
      </c>
      <c r="E1476" s="1">
        <v>42552</v>
      </c>
    </row>
    <row r="1477" spans="1:5" x14ac:dyDescent="0.25">
      <c r="A1477" t="s">
        <v>12</v>
      </c>
      <c r="B1477" t="s">
        <v>9</v>
      </c>
      <c r="C1477">
        <v>111.7</v>
      </c>
      <c r="D1477">
        <v>111.21062999999999</v>
      </c>
      <c r="E1477" s="1">
        <v>42583</v>
      </c>
    </row>
    <row r="1478" spans="1:5" x14ac:dyDescent="0.25">
      <c r="A1478" t="s">
        <v>12</v>
      </c>
      <c r="B1478" t="s">
        <v>9</v>
      </c>
      <c r="C1478">
        <v>111.17</v>
      </c>
      <c r="D1478">
        <v>111.38824</v>
      </c>
      <c r="E1478" s="1">
        <v>42614</v>
      </c>
    </row>
    <row r="1479" spans="1:5" x14ac:dyDescent="0.25">
      <c r="A1479" t="s">
        <v>12</v>
      </c>
      <c r="B1479" t="s">
        <v>9</v>
      </c>
      <c r="C1479">
        <v>110.79</v>
      </c>
      <c r="D1479">
        <v>113.78158000000001</v>
      </c>
      <c r="E1479" s="1">
        <v>42644</v>
      </c>
    </row>
    <row r="1480" spans="1:5" x14ac:dyDescent="0.25">
      <c r="A1480" t="s">
        <v>12</v>
      </c>
      <c r="B1480" t="s">
        <v>9</v>
      </c>
      <c r="C1480">
        <v>110.31</v>
      </c>
      <c r="D1480">
        <v>114.83633</v>
      </c>
      <c r="E1480" s="1">
        <v>42675</v>
      </c>
    </row>
    <row r="1481" spans="1:5" x14ac:dyDescent="0.25">
      <c r="A1481" t="s">
        <v>12</v>
      </c>
      <c r="B1481" t="s">
        <v>9</v>
      </c>
      <c r="C1481">
        <v>109.89</v>
      </c>
      <c r="D1481">
        <v>125.89606999999999</v>
      </c>
      <c r="E1481" s="1">
        <v>42705</v>
      </c>
    </row>
    <row r="1482" spans="1:5" x14ac:dyDescent="0.25">
      <c r="A1482" t="s">
        <v>12</v>
      </c>
      <c r="B1482" t="s">
        <v>9</v>
      </c>
      <c r="C1482">
        <v>106.06</v>
      </c>
      <c r="D1482">
        <v>98.447779999999995</v>
      </c>
      <c r="E1482" s="1">
        <v>42736</v>
      </c>
    </row>
    <row r="1483" spans="1:5" x14ac:dyDescent="0.25">
      <c r="A1483" t="s">
        <v>12</v>
      </c>
      <c r="B1483" t="s">
        <v>9</v>
      </c>
      <c r="C1483">
        <v>105.16</v>
      </c>
      <c r="D1483">
        <v>94.224189999999993</v>
      </c>
      <c r="E1483" s="1">
        <v>42767</v>
      </c>
    </row>
    <row r="1484" spans="1:5" x14ac:dyDescent="0.25">
      <c r="A1484" t="s">
        <v>12</v>
      </c>
      <c r="B1484" t="s">
        <v>9</v>
      </c>
      <c r="C1484">
        <v>105.32</v>
      </c>
      <c r="D1484">
        <v>103.52311</v>
      </c>
      <c r="E1484" s="1">
        <v>42795</v>
      </c>
    </row>
    <row r="1485" spans="1:5" x14ac:dyDescent="0.25">
      <c r="A1485" t="s">
        <v>12</v>
      </c>
      <c r="B1485" t="s">
        <v>9</v>
      </c>
      <c r="C1485">
        <v>106.32</v>
      </c>
      <c r="D1485">
        <v>102.85616</v>
      </c>
      <c r="E1485" s="1">
        <v>42826</v>
      </c>
    </row>
    <row r="1486" spans="1:5" x14ac:dyDescent="0.25">
      <c r="A1486" t="s">
        <v>12</v>
      </c>
      <c r="B1486" t="s">
        <v>9</v>
      </c>
      <c r="C1486">
        <v>107.78</v>
      </c>
      <c r="D1486">
        <v>109.30235</v>
      </c>
      <c r="E1486" s="1">
        <v>42856</v>
      </c>
    </row>
    <row r="1487" spans="1:5" x14ac:dyDescent="0.25">
      <c r="A1487" t="s">
        <v>12</v>
      </c>
      <c r="B1487" t="s">
        <v>9</v>
      </c>
      <c r="C1487">
        <v>108.89</v>
      </c>
      <c r="D1487">
        <v>107.8749</v>
      </c>
      <c r="E1487" s="1">
        <v>42887</v>
      </c>
    </row>
    <row r="1488" spans="1:5" x14ac:dyDescent="0.25">
      <c r="A1488" t="s">
        <v>12</v>
      </c>
      <c r="B1488" t="s">
        <v>9</v>
      </c>
      <c r="C1488">
        <v>110.15</v>
      </c>
      <c r="D1488">
        <v>111.14364</v>
      </c>
      <c r="E1488" s="1">
        <v>42917</v>
      </c>
    </row>
    <row r="1489" spans="1:5" x14ac:dyDescent="0.25">
      <c r="A1489" t="s">
        <v>12</v>
      </c>
      <c r="B1489" t="s">
        <v>9</v>
      </c>
      <c r="C1489">
        <v>110.13</v>
      </c>
      <c r="D1489">
        <v>108.8202</v>
      </c>
      <c r="E1489" s="1">
        <v>42948</v>
      </c>
    </row>
    <row r="1490" spans="1:5" x14ac:dyDescent="0.25">
      <c r="A1490" t="s">
        <v>12</v>
      </c>
      <c r="B1490" t="s">
        <v>9</v>
      </c>
      <c r="C1490">
        <v>107.17</v>
      </c>
      <c r="D1490">
        <v>107.62304</v>
      </c>
      <c r="E1490" s="1">
        <v>42979</v>
      </c>
    </row>
    <row r="1491" spans="1:5" x14ac:dyDescent="0.25">
      <c r="A1491" t="s">
        <v>12</v>
      </c>
      <c r="B1491" t="s">
        <v>9</v>
      </c>
      <c r="C1491">
        <v>106.81</v>
      </c>
      <c r="D1491">
        <v>110.21795</v>
      </c>
      <c r="E1491" s="1">
        <v>43009</v>
      </c>
    </row>
    <row r="1492" spans="1:5" x14ac:dyDescent="0.25">
      <c r="A1492" t="s">
        <v>12</v>
      </c>
      <c r="B1492" t="s">
        <v>9</v>
      </c>
      <c r="C1492">
        <v>105.3</v>
      </c>
      <c r="D1492">
        <v>110.24713</v>
      </c>
      <c r="E1492" s="1">
        <v>43040</v>
      </c>
    </row>
    <row r="1493" spans="1:5" x14ac:dyDescent="0.25">
      <c r="A1493" t="s">
        <v>12</v>
      </c>
      <c r="B1493" t="s">
        <v>9</v>
      </c>
      <c r="C1493">
        <v>109.36</v>
      </c>
      <c r="D1493">
        <v>124.46791</v>
      </c>
      <c r="E1493" s="1">
        <v>43070</v>
      </c>
    </row>
    <row r="1494" spans="1:5" x14ac:dyDescent="0.25">
      <c r="A1494" t="s">
        <v>12</v>
      </c>
      <c r="B1494" t="s">
        <v>9</v>
      </c>
      <c r="C1494">
        <v>106.41</v>
      </c>
      <c r="D1494">
        <v>98.992660000000001</v>
      </c>
      <c r="E1494" s="1">
        <v>43101</v>
      </c>
    </row>
    <row r="1495" spans="1:5" x14ac:dyDescent="0.25">
      <c r="A1495" t="s">
        <v>12</v>
      </c>
      <c r="B1495" t="s">
        <v>9</v>
      </c>
      <c r="C1495">
        <v>107.72</v>
      </c>
      <c r="D1495">
        <v>96.413889999999995</v>
      </c>
      <c r="E1495" s="1">
        <v>43132</v>
      </c>
    </row>
    <row r="1496" spans="1:5" x14ac:dyDescent="0.25">
      <c r="A1496" t="s">
        <v>12</v>
      </c>
      <c r="B1496" t="s">
        <v>9</v>
      </c>
      <c r="C1496">
        <v>107.59</v>
      </c>
      <c r="D1496">
        <v>103.46578</v>
      </c>
      <c r="E1496" s="1">
        <v>43160</v>
      </c>
    </row>
    <row r="1497" spans="1:5" x14ac:dyDescent="0.25">
      <c r="A1497" t="s">
        <v>12</v>
      </c>
      <c r="B1497" t="s">
        <v>9</v>
      </c>
      <c r="C1497">
        <v>109.35</v>
      </c>
      <c r="D1497">
        <v>108.60746</v>
      </c>
      <c r="E1497" s="1">
        <v>43191</v>
      </c>
    </row>
    <row r="1498" spans="1:5" x14ac:dyDescent="0.25">
      <c r="A1498" t="s">
        <v>12</v>
      </c>
      <c r="B1498" t="s">
        <v>9</v>
      </c>
      <c r="C1498">
        <v>107.91</v>
      </c>
      <c r="D1498">
        <v>108.55028</v>
      </c>
      <c r="E1498" s="1">
        <v>43221</v>
      </c>
    </row>
    <row r="1499" spans="1:5" x14ac:dyDescent="0.25">
      <c r="A1499" t="s">
        <v>12</v>
      </c>
      <c r="B1499" t="s">
        <v>9</v>
      </c>
      <c r="C1499">
        <v>107.29</v>
      </c>
      <c r="D1499">
        <v>106.18734000000001</v>
      </c>
      <c r="E1499" s="1">
        <v>43252</v>
      </c>
    </row>
    <row r="1500" spans="1:5" x14ac:dyDescent="0.25">
      <c r="A1500" t="s">
        <v>12</v>
      </c>
      <c r="B1500" t="s">
        <v>9</v>
      </c>
      <c r="C1500">
        <v>108.41</v>
      </c>
      <c r="D1500">
        <v>109.67899</v>
      </c>
      <c r="E1500" s="1">
        <v>43282</v>
      </c>
    </row>
    <row r="1501" spans="1:5" x14ac:dyDescent="0.25">
      <c r="A1501" t="s">
        <v>12</v>
      </c>
      <c r="B1501" t="s">
        <v>9</v>
      </c>
      <c r="C1501">
        <v>112.46</v>
      </c>
      <c r="D1501">
        <v>112.37733</v>
      </c>
      <c r="E1501" s="1">
        <v>43313</v>
      </c>
    </row>
    <row r="1502" spans="1:5" x14ac:dyDescent="0.25">
      <c r="A1502" t="s">
        <v>12</v>
      </c>
      <c r="B1502" t="s">
        <v>9</v>
      </c>
      <c r="C1502">
        <v>107.89</v>
      </c>
      <c r="D1502">
        <v>106.94492</v>
      </c>
      <c r="E1502" s="1">
        <v>43344</v>
      </c>
    </row>
    <row r="1503" spans="1:5" x14ac:dyDescent="0.25">
      <c r="A1503" t="s">
        <v>12</v>
      </c>
      <c r="B1503" t="s">
        <v>9</v>
      </c>
      <c r="C1503">
        <v>108.01</v>
      </c>
      <c r="D1503">
        <v>112.4679</v>
      </c>
      <c r="E1503" s="1">
        <v>43374</v>
      </c>
    </row>
    <row r="1504" spans="1:5" x14ac:dyDescent="0.25">
      <c r="A1504" t="s">
        <v>12</v>
      </c>
      <c r="B1504" t="s">
        <v>9</v>
      </c>
      <c r="C1504">
        <v>108.45</v>
      </c>
      <c r="D1504">
        <v>114.20858</v>
      </c>
      <c r="E1504" s="1">
        <v>43405</v>
      </c>
    </row>
    <row r="1505" spans="1:5" x14ac:dyDescent="0.25">
      <c r="A1505" t="s">
        <v>12</v>
      </c>
      <c r="B1505" t="s">
        <v>9</v>
      </c>
      <c r="C1505">
        <v>107.87</v>
      </c>
      <c r="D1505">
        <v>123.16107</v>
      </c>
      <c r="E1505" s="1">
        <v>43435</v>
      </c>
    </row>
    <row r="1506" spans="1:5" x14ac:dyDescent="0.25">
      <c r="A1506" t="s">
        <v>12</v>
      </c>
      <c r="B1506" t="s">
        <v>9</v>
      </c>
      <c r="C1506">
        <v>106.03</v>
      </c>
      <c r="D1506">
        <v>97.074190000000002</v>
      </c>
      <c r="E1506" s="1">
        <v>43466</v>
      </c>
    </row>
    <row r="1507" spans="1:5" x14ac:dyDescent="0.25">
      <c r="A1507" t="s">
        <v>12</v>
      </c>
      <c r="B1507" t="s">
        <v>9</v>
      </c>
      <c r="C1507">
        <v>107.68</v>
      </c>
      <c r="D1507">
        <v>97.916179999999997</v>
      </c>
      <c r="E1507" s="1">
        <v>43497</v>
      </c>
    </row>
    <row r="1508" spans="1:5" x14ac:dyDescent="0.25">
      <c r="A1508" t="s">
        <v>12</v>
      </c>
      <c r="B1508" t="s">
        <v>9</v>
      </c>
      <c r="C1508">
        <v>107.65</v>
      </c>
      <c r="D1508">
        <v>102.53971</v>
      </c>
      <c r="E1508" s="1">
        <v>43525</v>
      </c>
    </row>
    <row r="1509" spans="1:5" x14ac:dyDescent="0.25">
      <c r="A1509" t="s">
        <v>12</v>
      </c>
      <c r="B1509" t="s">
        <v>9</v>
      </c>
      <c r="C1509">
        <v>107.94</v>
      </c>
      <c r="D1509">
        <v>106.33384</v>
      </c>
      <c r="E1509" s="1">
        <v>43556</v>
      </c>
    </row>
    <row r="1510" spans="1:5" x14ac:dyDescent="0.25">
      <c r="A1510" t="s">
        <v>12</v>
      </c>
      <c r="B1510" t="s">
        <v>9</v>
      </c>
      <c r="C1510">
        <v>109.02</v>
      </c>
      <c r="D1510">
        <v>110.68397</v>
      </c>
      <c r="E1510" s="1">
        <v>43586</v>
      </c>
    </row>
    <row r="1511" spans="1:5" x14ac:dyDescent="0.25">
      <c r="A1511" t="s">
        <v>12</v>
      </c>
      <c r="B1511" t="s">
        <v>9</v>
      </c>
      <c r="C1511">
        <v>108.75</v>
      </c>
      <c r="D1511">
        <v>105.98827</v>
      </c>
      <c r="E1511" s="1">
        <v>43617</v>
      </c>
    </row>
    <row r="1512" spans="1:5" x14ac:dyDescent="0.25">
      <c r="A1512" t="s">
        <v>12</v>
      </c>
      <c r="B1512" t="s">
        <v>9</v>
      </c>
      <c r="C1512">
        <v>108.48</v>
      </c>
      <c r="D1512">
        <v>110.78194000000001</v>
      </c>
      <c r="E1512" s="1">
        <v>43647</v>
      </c>
    </row>
    <row r="1513" spans="1:5" x14ac:dyDescent="0.25">
      <c r="A1513" t="s">
        <v>12</v>
      </c>
      <c r="B1513" t="s">
        <v>9</v>
      </c>
      <c r="C1513">
        <v>108.73</v>
      </c>
      <c r="D1513">
        <v>108.22596</v>
      </c>
      <c r="E1513" s="1">
        <v>43678</v>
      </c>
    </row>
    <row r="1514" spans="1:5" x14ac:dyDescent="0.25">
      <c r="A1514" t="s">
        <v>12</v>
      </c>
      <c r="B1514" t="s">
        <v>9</v>
      </c>
      <c r="C1514">
        <v>111.53</v>
      </c>
      <c r="D1514">
        <v>112.30698</v>
      </c>
      <c r="E1514" s="1">
        <v>43709</v>
      </c>
    </row>
    <row r="1515" spans="1:5" x14ac:dyDescent="0.25">
      <c r="A1515" t="s">
        <v>12</v>
      </c>
      <c r="B1515" t="s">
        <v>9</v>
      </c>
      <c r="C1515">
        <v>112.14</v>
      </c>
      <c r="D1515">
        <v>114.97557999999999</v>
      </c>
      <c r="E1515" s="1">
        <v>43739</v>
      </c>
    </row>
    <row r="1516" spans="1:5" x14ac:dyDescent="0.25">
      <c r="A1516" t="s">
        <v>12</v>
      </c>
      <c r="B1516" t="s">
        <v>9</v>
      </c>
      <c r="C1516">
        <v>110.89</v>
      </c>
      <c r="D1516">
        <v>116.36729</v>
      </c>
      <c r="E1516" s="1">
        <v>43770</v>
      </c>
    </row>
    <row r="1517" spans="1:5" x14ac:dyDescent="0.25">
      <c r="A1517" t="s">
        <v>12</v>
      </c>
      <c r="B1517" t="s">
        <v>9</v>
      </c>
      <c r="C1517">
        <v>107.08</v>
      </c>
      <c r="D1517">
        <v>122.62264</v>
      </c>
      <c r="E1517" s="1">
        <v>43800</v>
      </c>
    </row>
    <row r="1518" spans="1:5" x14ac:dyDescent="0.25">
      <c r="A1518" t="s">
        <v>12</v>
      </c>
      <c r="B1518" t="s">
        <v>9</v>
      </c>
      <c r="C1518">
        <v>105.6</v>
      </c>
      <c r="D1518">
        <v>97.828689999999995</v>
      </c>
      <c r="E1518" s="1">
        <v>43831</v>
      </c>
    </row>
    <row r="1519" spans="1:5" x14ac:dyDescent="0.25">
      <c r="A1519" t="s">
        <v>12</v>
      </c>
      <c r="B1519" t="s">
        <v>9</v>
      </c>
      <c r="C1519">
        <v>106.28</v>
      </c>
      <c r="D1519">
        <v>93.274180000000001</v>
      </c>
      <c r="E1519" s="1">
        <v>43862</v>
      </c>
    </row>
    <row r="1520" spans="1:5" x14ac:dyDescent="0.25">
      <c r="A1520" t="s">
        <v>12</v>
      </c>
      <c r="B1520" t="s">
        <v>9</v>
      </c>
      <c r="C1520">
        <v>96.28</v>
      </c>
      <c r="D1520">
        <v>93.739810000000006</v>
      </c>
      <c r="E1520" s="1">
        <v>43891</v>
      </c>
    </row>
    <row r="1521" spans="1:5" x14ac:dyDescent="0.25">
      <c r="A1521" t="s">
        <v>12</v>
      </c>
      <c r="B1521" t="s">
        <v>9</v>
      </c>
      <c r="C1521">
        <v>85.47</v>
      </c>
      <c r="D1521">
        <v>82.884219999999999</v>
      </c>
      <c r="E1521" s="1">
        <v>43922</v>
      </c>
    </row>
    <row r="1522" spans="1:5" x14ac:dyDescent="0.25">
      <c r="A1522" t="s">
        <v>12</v>
      </c>
      <c r="B1522" t="s">
        <v>9</v>
      </c>
      <c r="C1522">
        <v>79.56</v>
      </c>
      <c r="D1522">
        <v>79.200509999999994</v>
      </c>
      <c r="E1522" s="1">
        <v>43952</v>
      </c>
    </row>
    <row r="1523" spans="1:5" x14ac:dyDescent="0.25">
      <c r="A1523" t="s">
        <v>12</v>
      </c>
      <c r="B1523" t="s">
        <v>9</v>
      </c>
      <c r="C1523">
        <v>81.38</v>
      </c>
      <c r="D1523">
        <v>81.417559999999995</v>
      </c>
      <c r="E1523" s="1">
        <v>43983</v>
      </c>
    </row>
    <row r="1524" spans="1:5" x14ac:dyDescent="0.25">
      <c r="A1524" t="s">
        <v>12</v>
      </c>
      <c r="B1524" t="s">
        <v>9</v>
      </c>
      <c r="C1524">
        <v>83.62</v>
      </c>
      <c r="D1524">
        <v>85.364450000000005</v>
      </c>
      <c r="E1524" s="1">
        <v>44013</v>
      </c>
    </row>
    <row r="1525" spans="1:5" x14ac:dyDescent="0.25">
      <c r="A1525" t="s">
        <v>12</v>
      </c>
      <c r="B1525" t="s">
        <v>9</v>
      </c>
      <c r="C1525">
        <v>86.14</v>
      </c>
      <c r="D1525">
        <v>85.005260000000007</v>
      </c>
      <c r="E1525" s="1">
        <v>44044</v>
      </c>
    </row>
    <row r="1526" spans="1:5" x14ac:dyDescent="0.25">
      <c r="A1526" t="s">
        <v>12</v>
      </c>
      <c r="B1526" t="s">
        <v>9</v>
      </c>
      <c r="C1526">
        <v>87.76</v>
      </c>
      <c r="D1526">
        <v>88.619640000000004</v>
      </c>
      <c r="E1526" s="1">
        <v>44075</v>
      </c>
    </row>
    <row r="1527" spans="1:5" x14ac:dyDescent="0.25">
      <c r="A1527" t="s">
        <v>12</v>
      </c>
      <c r="B1527" t="s">
        <v>9</v>
      </c>
      <c r="C1527">
        <v>89.51</v>
      </c>
      <c r="D1527">
        <v>92.070350000000005</v>
      </c>
      <c r="E1527" s="1">
        <v>44105</v>
      </c>
    </row>
    <row r="1528" spans="1:5" x14ac:dyDescent="0.25">
      <c r="A1528" t="s">
        <v>12</v>
      </c>
      <c r="B1528" t="s">
        <v>9</v>
      </c>
      <c r="C1528">
        <v>89.19</v>
      </c>
      <c r="D1528">
        <v>94.386250000000004</v>
      </c>
      <c r="E1528" s="1">
        <v>44136</v>
      </c>
    </row>
    <row r="1529" spans="1:5" x14ac:dyDescent="0.25">
      <c r="A1529" t="s">
        <v>12</v>
      </c>
      <c r="B1529" t="s">
        <v>9</v>
      </c>
      <c r="C1529">
        <v>88.03</v>
      </c>
      <c r="D1529">
        <v>103.59912</v>
      </c>
      <c r="E1529" s="1">
        <v>44166</v>
      </c>
    </row>
    <row r="1530" spans="1:5" x14ac:dyDescent="0.25">
      <c r="A1530" t="s">
        <v>12</v>
      </c>
      <c r="B1530" t="s">
        <v>9</v>
      </c>
      <c r="C1530">
        <v>92.39</v>
      </c>
      <c r="D1530">
        <v>83.510019999999997</v>
      </c>
      <c r="E1530" s="1">
        <v>44197</v>
      </c>
    </row>
    <row r="1531" spans="1:5" x14ac:dyDescent="0.25">
      <c r="A1531" t="s">
        <v>12</v>
      </c>
      <c r="B1531" t="s">
        <v>9</v>
      </c>
      <c r="C1531">
        <v>98.43</v>
      </c>
      <c r="D1531">
        <v>87.147900000000007</v>
      </c>
      <c r="E1531" s="1">
        <v>44228</v>
      </c>
    </row>
    <row r="1532" spans="1:5" x14ac:dyDescent="0.25">
      <c r="A1532" t="s">
        <v>12</v>
      </c>
      <c r="B1532" t="s">
        <v>9</v>
      </c>
      <c r="C1532">
        <v>90.16</v>
      </c>
      <c r="D1532">
        <v>89.741200000000006</v>
      </c>
      <c r="E1532" s="1">
        <v>44256</v>
      </c>
    </row>
    <row r="1533" spans="1:5" x14ac:dyDescent="0.25">
      <c r="A1533" t="s">
        <v>12</v>
      </c>
      <c r="B1533" t="s">
        <v>9</v>
      </c>
      <c r="C1533">
        <v>91.05</v>
      </c>
      <c r="D1533">
        <v>88.929479999999998</v>
      </c>
      <c r="E1533" s="1">
        <v>44287</v>
      </c>
    </row>
    <row r="1534" spans="1:5" x14ac:dyDescent="0.25">
      <c r="A1534" t="s">
        <v>12</v>
      </c>
      <c r="B1534" t="s">
        <v>9</v>
      </c>
      <c r="C1534">
        <v>92.29</v>
      </c>
      <c r="D1534">
        <v>91.41825</v>
      </c>
      <c r="E1534" s="1">
        <v>44317</v>
      </c>
    </row>
    <row r="1535" spans="1:5" x14ac:dyDescent="0.25">
      <c r="A1535" t="s">
        <v>12</v>
      </c>
      <c r="B1535" t="s">
        <v>9</v>
      </c>
      <c r="C1535">
        <v>93.03</v>
      </c>
      <c r="D1535">
        <v>92.589190000000002</v>
      </c>
      <c r="E1535" s="1">
        <v>44348</v>
      </c>
    </row>
    <row r="1536" spans="1:5" x14ac:dyDescent="0.25">
      <c r="A1536" t="s">
        <v>12</v>
      </c>
      <c r="B1536" t="s">
        <v>9</v>
      </c>
      <c r="C1536">
        <v>95.15</v>
      </c>
      <c r="D1536">
        <v>95.747550000000004</v>
      </c>
      <c r="E1536" s="1">
        <v>44378</v>
      </c>
    </row>
    <row r="1537" spans="1:5" x14ac:dyDescent="0.25">
      <c r="A1537" t="s">
        <v>12</v>
      </c>
      <c r="B1537" t="s">
        <v>9</v>
      </c>
      <c r="C1537">
        <v>93.61</v>
      </c>
      <c r="D1537">
        <v>92.843379999999996</v>
      </c>
      <c r="E1537" s="1">
        <v>44409</v>
      </c>
    </row>
    <row r="1538" spans="1:5" x14ac:dyDescent="0.25">
      <c r="A1538" t="s">
        <v>12</v>
      </c>
      <c r="B1538" t="s">
        <v>9</v>
      </c>
      <c r="C1538">
        <v>94.59</v>
      </c>
      <c r="D1538">
        <v>95.475380000000001</v>
      </c>
      <c r="E1538" s="1">
        <v>44440</v>
      </c>
    </row>
    <row r="1539" spans="1:5" x14ac:dyDescent="0.25">
      <c r="A1539" t="s">
        <v>12</v>
      </c>
      <c r="B1539" t="s">
        <v>9</v>
      </c>
      <c r="C1539">
        <v>92.7</v>
      </c>
      <c r="D1539">
        <v>93.78586</v>
      </c>
      <c r="E1539" s="1">
        <v>44470</v>
      </c>
    </row>
    <row r="1540" spans="1:5" x14ac:dyDescent="0.25">
      <c r="A1540" t="s">
        <v>12</v>
      </c>
      <c r="B1540" t="s">
        <v>9</v>
      </c>
      <c r="C1540">
        <v>92.49</v>
      </c>
      <c r="D1540">
        <v>98.751850000000005</v>
      </c>
      <c r="E1540" s="1">
        <v>44501</v>
      </c>
    </row>
    <row r="1541" spans="1:5" x14ac:dyDescent="0.25">
      <c r="A1541" t="s">
        <v>12</v>
      </c>
      <c r="B1541" t="s">
        <v>9</v>
      </c>
      <c r="C1541">
        <v>95.69</v>
      </c>
      <c r="D1541">
        <v>112.31542</v>
      </c>
      <c r="E1541" s="1">
        <v>44531</v>
      </c>
    </row>
    <row r="1542" spans="1:5" x14ac:dyDescent="0.25">
      <c r="A1542" t="s">
        <v>12</v>
      </c>
      <c r="B1542" t="s">
        <v>9</v>
      </c>
      <c r="C1542">
        <v>99.28</v>
      </c>
      <c r="D1542">
        <v>91.158270000000002</v>
      </c>
      <c r="E1542" s="1">
        <v>44562</v>
      </c>
    </row>
    <row r="1543" spans="1:5" x14ac:dyDescent="0.25">
      <c r="A1543" t="s">
        <v>12</v>
      </c>
      <c r="B1543" t="s">
        <v>9</v>
      </c>
      <c r="C1543">
        <v>102.47</v>
      </c>
      <c r="D1543">
        <v>91.085539999999995</v>
      </c>
      <c r="E1543" s="1">
        <v>44593</v>
      </c>
    </row>
    <row r="1544" spans="1:5" x14ac:dyDescent="0.25">
      <c r="A1544" t="s">
        <v>12</v>
      </c>
      <c r="B1544" t="s">
        <v>9</v>
      </c>
      <c r="C1544">
        <v>97.98</v>
      </c>
      <c r="D1544">
        <v>97.280289999999994</v>
      </c>
      <c r="E1544" s="1">
        <v>44621</v>
      </c>
    </row>
    <row r="1545" spans="1:5" x14ac:dyDescent="0.25">
      <c r="A1545" t="s">
        <v>12</v>
      </c>
      <c r="B1545" t="s">
        <v>9</v>
      </c>
      <c r="C1545">
        <v>98.86</v>
      </c>
      <c r="D1545">
        <v>96.265919999999994</v>
      </c>
      <c r="E1545" s="1">
        <v>44652</v>
      </c>
    </row>
    <row r="1546" spans="1:5" x14ac:dyDescent="0.25">
      <c r="A1546" t="s">
        <v>12</v>
      </c>
      <c r="B1546" t="s">
        <v>9</v>
      </c>
      <c r="C1546">
        <v>100.13</v>
      </c>
      <c r="D1546">
        <v>98.484870000000001</v>
      </c>
      <c r="E1546" s="1">
        <v>44682</v>
      </c>
    </row>
    <row r="1547" spans="1:5" x14ac:dyDescent="0.25">
      <c r="A1547" t="s">
        <v>12</v>
      </c>
      <c r="B1547" t="s">
        <v>9</v>
      </c>
      <c r="C1547">
        <v>101.25</v>
      </c>
      <c r="D1547">
        <v>101.21792000000001</v>
      </c>
      <c r="E1547" s="1">
        <v>44713</v>
      </c>
    </row>
    <row r="1548" spans="1:5" x14ac:dyDescent="0.25">
      <c r="A1548" t="s">
        <v>12</v>
      </c>
      <c r="B1548" t="s">
        <v>9</v>
      </c>
      <c r="C1548">
        <v>99.8</v>
      </c>
      <c r="D1548">
        <v>99.09348</v>
      </c>
      <c r="E1548" s="1">
        <v>44743</v>
      </c>
    </row>
    <row r="1549" spans="1:5" x14ac:dyDescent="0.25">
      <c r="A1549" t="s">
        <v>12</v>
      </c>
      <c r="B1549" t="s">
        <v>9</v>
      </c>
      <c r="C1549">
        <v>100.73</v>
      </c>
      <c r="D1549">
        <v>101.43836</v>
      </c>
      <c r="E1549" s="1">
        <v>44774</v>
      </c>
    </row>
    <row r="1550" spans="1:5" x14ac:dyDescent="0.25">
      <c r="A1550" t="s">
        <v>12</v>
      </c>
      <c r="B1550" t="s">
        <v>9</v>
      </c>
      <c r="C1550">
        <v>98.72</v>
      </c>
      <c r="D1550">
        <v>100.15380999999999</v>
      </c>
      <c r="E1550" s="1">
        <v>44805</v>
      </c>
    </row>
    <row r="1551" spans="1:5" x14ac:dyDescent="0.25">
      <c r="A1551" t="s">
        <v>12</v>
      </c>
      <c r="B1551" t="s">
        <v>9</v>
      </c>
      <c r="C1551">
        <v>98.96</v>
      </c>
      <c r="D1551">
        <v>100.09807000000001</v>
      </c>
      <c r="E1551" s="1">
        <v>44835</v>
      </c>
    </row>
    <row r="1552" spans="1:5" x14ac:dyDescent="0.25">
      <c r="A1552" t="s">
        <v>12</v>
      </c>
      <c r="B1552" t="s">
        <v>9</v>
      </c>
      <c r="C1552">
        <v>99.75</v>
      </c>
      <c r="D1552">
        <v>105.24583</v>
      </c>
      <c r="E1552" s="1">
        <v>44866</v>
      </c>
    </row>
    <row r="1553" spans="1:5" x14ac:dyDescent="0.25">
      <c r="A1553" t="s">
        <v>12</v>
      </c>
      <c r="B1553" t="s">
        <v>9</v>
      </c>
      <c r="C1553">
        <v>102.37</v>
      </c>
      <c r="D1553">
        <v>118.47765</v>
      </c>
      <c r="E1553" s="1">
        <v>44896</v>
      </c>
    </row>
    <row r="1554" spans="1:5" x14ac:dyDescent="0.25">
      <c r="A1554" t="s">
        <v>12</v>
      </c>
      <c r="B1554" t="s">
        <v>9</v>
      </c>
      <c r="C1554">
        <v>101.19</v>
      </c>
      <c r="D1554">
        <v>93.521559999999994</v>
      </c>
      <c r="E1554" s="1">
        <v>44927</v>
      </c>
    </row>
    <row r="1555" spans="1:5" x14ac:dyDescent="0.25">
      <c r="A1555" t="s">
        <v>12</v>
      </c>
      <c r="B1555" t="s">
        <v>9</v>
      </c>
      <c r="C1555">
        <v>100.17</v>
      </c>
      <c r="D1555">
        <v>88.694519999999997</v>
      </c>
      <c r="E1555" s="1">
        <v>44958</v>
      </c>
    </row>
    <row r="1556" spans="1:5" x14ac:dyDescent="0.25">
      <c r="A1556" t="s">
        <v>12</v>
      </c>
      <c r="B1556" t="s">
        <v>9</v>
      </c>
      <c r="C1556">
        <v>102.14</v>
      </c>
      <c r="D1556">
        <v>103.13124000000001</v>
      </c>
      <c r="E1556" s="1">
        <v>44986</v>
      </c>
    </row>
    <row r="1557" spans="1:5" x14ac:dyDescent="0.25">
      <c r="A1557" t="s">
        <v>12</v>
      </c>
      <c r="B1557" t="s">
        <v>9</v>
      </c>
      <c r="C1557">
        <v>102.7</v>
      </c>
      <c r="D1557">
        <v>98.128919999999994</v>
      </c>
      <c r="E1557" s="1">
        <v>45017</v>
      </c>
    </row>
    <row r="1558" spans="1:5" x14ac:dyDescent="0.25">
      <c r="A1558" t="s">
        <v>12</v>
      </c>
      <c r="B1558" t="s">
        <v>9</v>
      </c>
      <c r="C1558">
        <v>99.86</v>
      </c>
      <c r="D1558">
        <v>98.628200000000007</v>
      </c>
      <c r="E1558" s="1">
        <v>45047</v>
      </c>
    </row>
    <row r="1559" spans="1:5" x14ac:dyDescent="0.25">
      <c r="A1559" t="s">
        <v>12</v>
      </c>
      <c r="B1559" t="s">
        <v>9</v>
      </c>
      <c r="C1559">
        <v>100.71</v>
      </c>
      <c r="D1559">
        <v>101.43096</v>
      </c>
      <c r="E1559" s="1">
        <v>45078</v>
      </c>
    </row>
    <row r="1560" spans="1:5" x14ac:dyDescent="0.25">
      <c r="A1560" t="s">
        <v>12</v>
      </c>
      <c r="B1560" t="s">
        <v>9</v>
      </c>
      <c r="C1560">
        <v>100.75</v>
      </c>
      <c r="D1560">
        <v>100.09884</v>
      </c>
      <c r="E1560" s="1">
        <v>45108</v>
      </c>
    </row>
    <row r="1561" spans="1:5" x14ac:dyDescent="0.25">
      <c r="A1561" t="s">
        <v>12</v>
      </c>
      <c r="B1561" t="s">
        <v>9</v>
      </c>
      <c r="C1561">
        <v>112.12</v>
      </c>
      <c r="D1561">
        <v>111.82778999999999</v>
      </c>
      <c r="E1561" s="1">
        <v>45139</v>
      </c>
    </row>
    <row r="1562" spans="1:5" x14ac:dyDescent="0.25">
      <c r="A1562" t="s">
        <v>12</v>
      </c>
      <c r="B1562" t="s">
        <v>9</v>
      </c>
      <c r="C1562">
        <v>106.8</v>
      </c>
      <c r="D1562">
        <v>107.85603</v>
      </c>
      <c r="E1562" s="1">
        <v>45170</v>
      </c>
    </row>
    <row r="1563" spans="1:5" x14ac:dyDescent="0.25">
      <c r="A1563" t="s">
        <v>12</v>
      </c>
      <c r="B1563" t="s">
        <v>9</v>
      </c>
      <c r="C1563">
        <v>111.97</v>
      </c>
      <c r="D1563">
        <v>113.43781</v>
      </c>
      <c r="E1563" s="1">
        <v>45200</v>
      </c>
    </row>
    <row r="1564" spans="1:5" x14ac:dyDescent="0.25">
      <c r="A1564" t="s">
        <v>12</v>
      </c>
      <c r="B1564" t="s">
        <v>9</v>
      </c>
      <c r="C1564">
        <v>114.6</v>
      </c>
      <c r="D1564">
        <v>120.34742</v>
      </c>
      <c r="E1564" s="1">
        <v>45231</v>
      </c>
    </row>
    <row r="1565" spans="1:5" x14ac:dyDescent="0.25">
      <c r="A1565" t="s">
        <v>12</v>
      </c>
      <c r="B1565" t="s">
        <v>9</v>
      </c>
      <c r="C1565">
        <v>113.54</v>
      </c>
      <c r="D1565">
        <v>128.80306999999999</v>
      </c>
      <c r="E1565" s="1">
        <v>45261</v>
      </c>
    </row>
    <row r="1566" spans="1:5" x14ac:dyDescent="0.25">
      <c r="A1566" t="s">
        <v>12</v>
      </c>
      <c r="B1566" t="s">
        <v>9</v>
      </c>
      <c r="C1566">
        <v>114.42</v>
      </c>
      <c r="D1566">
        <v>107.9526</v>
      </c>
      <c r="E1566" s="1">
        <v>45292</v>
      </c>
    </row>
    <row r="1567" spans="1:5" x14ac:dyDescent="0.25">
      <c r="A1567" t="s">
        <v>12</v>
      </c>
      <c r="B1567" t="s">
        <v>9</v>
      </c>
      <c r="C1567">
        <v>115.63</v>
      </c>
      <c r="D1567">
        <v>102.67582</v>
      </c>
      <c r="E1567" s="1">
        <v>45323</v>
      </c>
    </row>
    <row r="1568" spans="1:5" x14ac:dyDescent="0.25">
      <c r="A1568" t="s">
        <v>12</v>
      </c>
      <c r="B1568" t="s">
        <v>9</v>
      </c>
      <c r="C1568">
        <v>117.96</v>
      </c>
      <c r="D1568">
        <v>116.34799</v>
      </c>
      <c r="E1568" s="1">
        <v>45352</v>
      </c>
    </row>
    <row r="1569" spans="1:5" x14ac:dyDescent="0.25">
      <c r="A1569" t="s">
        <v>12</v>
      </c>
      <c r="B1569" t="s">
        <v>9</v>
      </c>
      <c r="C1569">
        <v>115.54</v>
      </c>
      <c r="D1569">
        <v>114.88209999999999</v>
      </c>
      <c r="E1569" s="1">
        <v>45383</v>
      </c>
    </row>
    <row r="1570" spans="1:5" x14ac:dyDescent="0.25">
      <c r="A1570" t="s">
        <v>12</v>
      </c>
      <c r="B1570" t="s">
        <v>9</v>
      </c>
      <c r="C1570">
        <v>115.61</v>
      </c>
      <c r="D1570">
        <v>112.75922</v>
      </c>
      <c r="E1570" s="1">
        <v>45413</v>
      </c>
    </row>
    <row r="1571" spans="1:5" x14ac:dyDescent="0.25">
      <c r="A1571" t="s">
        <v>12</v>
      </c>
      <c r="B1571" t="s">
        <v>9</v>
      </c>
      <c r="C1571">
        <v>118.12</v>
      </c>
      <c r="D1571">
        <v>117.31310000000001</v>
      </c>
      <c r="E1571" s="1">
        <v>45444</v>
      </c>
    </row>
    <row r="1572" spans="1:5" x14ac:dyDescent="0.25">
      <c r="A1572" t="s">
        <v>12</v>
      </c>
      <c r="B1572" t="s">
        <v>9</v>
      </c>
      <c r="C1572">
        <v>116.8</v>
      </c>
      <c r="D1572">
        <v>117.57801000000001</v>
      </c>
      <c r="E1572" s="1">
        <v>45474</v>
      </c>
    </row>
    <row r="1573" spans="1:5" x14ac:dyDescent="0.25">
      <c r="A1573" t="s">
        <v>12</v>
      </c>
      <c r="B1573" t="s">
        <v>9</v>
      </c>
      <c r="C1573">
        <v>117.56</v>
      </c>
      <c r="D1573">
        <v>117.68250999999999</v>
      </c>
      <c r="E1573" s="1">
        <v>45505</v>
      </c>
    </row>
    <row r="1574" spans="1:5" x14ac:dyDescent="0.25">
      <c r="A1574" t="s">
        <v>12</v>
      </c>
      <c r="B1574" t="s">
        <v>9</v>
      </c>
      <c r="C1574">
        <v>120.32</v>
      </c>
      <c r="D1574">
        <v>121.06901000000001</v>
      </c>
      <c r="E1574" s="1">
        <v>45536</v>
      </c>
    </row>
    <row r="1575" spans="1:5" x14ac:dyDescent="0.25">
      <c r="A1575" t="s">
        <v>12</v>
      </c>
      <c r="B1575" t="s">
        <v>9</v>
      </c>
      <c r="C1575">
        <v>125.18</v>
      </c>
      <c r="D1575">
        <v>127.06708</v>
      </c>
      <c r="E1575" s="1">
        <v>45566</v>
      </c>
    </row>
    <row r="1576" spans="1:5" x14ac:dyDescent="0.25">
      <c r="A1576" t="s">
        <v>12</v>
      </c>
      <c r="B1576" t="s">
        <v>9</v>
      </c>
      <c r="C1576">
        <v>120.54</v>
      </c>
      <c r="D1576">
        <v>126.79261</v>
      </c>
      <c r="E1576" s="1">
        <v>45597</v>
      </c>
    </row>
    <row r="1577" spans="1:5" x14ac:dyDescent="0.25">
      <c r="A1577" t="s">
        <v>12</v>
      </c>
      <c r="B1577" t="s">
        <v>9</v>
      </c>
      <c r="C1577">
        <v>120.29</v>
      </c>
      <c r="D1577">
        <v>136.06507999999999</v>
      </c>
      <c r="E1577" s="1">
        <v>45627</v>
      </c>
    </row>
    <row r="1578" spans="1:5" x14ac:dyDescent="0.25">
      <c r="A1578" t="s">
        <v>12</v>
      </c>
      <c r="B1578" t="s">
        <v>9</v>
      </c>
      <c r="C1578">
        <v>120.11</v>
      </c>
      <c r="D1578">
        <v>113.21109</v>
      </c>
      <c r="E1578" s="1">
        <v>45658</v>
      </c>
    </row>
    <row r="1579" spans="1:5" x14ac:dyDescent="0.25">
      <c r="A1579" t="s">
        <v>12</v>
      </c>
      <c r="B1579" t="s">
        <v>9</v>
      </c>
      <c r="C1579">
        <v>120.98</v>
      </c>
      <c r="D1579">
        <v>110.44324</v>
      </c>
      <c r="E1579" s="1">
        <v>45689</v>
      </c>
    </row>
    <row r="1580" spans="1:5" x14ac:dyDescent="0.25">
      <c r="A1580" t="s">
        <v>12</v>
      </c>
      <c r="B1580" t="s">
        <v>9</v>
      </c>
      <c r="C1580">
        <v>122.54</v>
      </c>
      <c r="D1580">
        <v>121.85437</v>
      </c>
      <c r="E1580" s="1">
        <v>45717</v>
      </c>
    </row>
    <row r="1581" spans="1:5" x14ac:dyDescent="0.25">
      <c r="A1581" t="s">
        <v>12</v>
      </c>
      <c r="B1581" t="s">
        <v>9</v>
      </c>
      <c r="C1581">
        <v>122.9</v>
      </c>
      <c r="D1581">
        <v>119.77043999999999</v>
      </c>
      <c r="E1581" s="1">
        <v>45748</v>
      </c>
    </row>
    <row r="1582" spans="1:5" x14ac:dyDescent="0.25">
      <c r="A1582" t="s">
        <v>12</v>
      </c>
      <c r="B1582" t="s">
        <v>9</v>
      </c>
      <c r="C1582">
        <v>124.09</v>
      </c>
      <c r="D1582">
        <v>121.09811000000001</v>
      </c>
      <c r="E1582" s="1">
        <v>45778</v>
      </c>
    </row>
    <row r="1583" spans="1:5" x14ac:dyDescent="0.25">
      <c r="A1583" t="s">
        <v>12</v>
      </c>
      <c r="B1583" t="s">
        <v>9</v>
      </c>
      <c r="C1583">
        <v>125.04</v>
      </c>
      <c r="D1583">
        <v>124.87183</v>
      </c>
      <c r="E1583" s="1">
        <v>45809</v>
      </c>
    </row>
    <row r="1584" spans="1:5" x14ac:dyDescent="0.25">
      <c r="A1584" t="s">
        <v>12</v>
      </c>
      <c r="B1584" t="s">
        <v>9</v>
      </c>
      <c r="C1584">
        <v>126.92</v>
      </c>
      <c r="D1584">
        <v>126.47145999999999</v>
      </c>
      <c r="E1584" s="1">
        <v>45839</v>
      </c>
    </row>
    <row r="1585" spans="1:5" x14ac:dyDescent="0.25">
      <c r="A1585" t="s">
        <v>12</v>
      </c>
      <c r="B1585" t="s">
        <v>9</v>
      </c>
      <c r="C1585">
        <v>127.54</v>
      </c>
      <c r="D1585">
        <v>126.62820000000001</v>
      </c>
      <c r="E1585" s="1">
        <v>45870</v>
      </c>
    </row>
    <row r="1586" spans="1:5" x14ac:dyDescent="0.25">
      <c r="A1586" t="s">
        <v>12</v>
      </c>
      <c r="B1586" t="s">
        <v>8</v>
      </c>
      <c r="C1586">
        <v>57.86</v>
      </c>
      <c r="D1586">
        <v>54.354689999999998</v>
      </c>
      <c r="E1586" s="1">
        <v>40544</v>
      </c>
    </row>
    <row r="1587" spans="1:5" x14ac:dyDescent="0.25">
      <c r="A1587" t="s">
        <v>12</v>
      </c>
      <c r="B1587" t="s">
        <v>8</v>
      </c>
      <c r="C1587">
        <v>56.89</v>
      </c>
      <c r="D1587">
        <v>53.885449999999999</v>
      </c>
      <c r="E1587" s="1">
        <v>40575</v>
      </c>
    </row>
    <row r="1588" spans="1:5" x14ac:dyDescent="0.25">
      <c r="A1588" t="s">
        <v>12</v>
      </c>
      <c r="B1588" t="s">
        <v>8</v>
      </c>
      <c r="C1588">
        <v>58.18</v>
      </c>
      <c r="D1588">
        <v>58.540959999999998</v>
      </c>
      <c r="E1588" s="1">
        <v>40603</v>
      </c>
    </row>
    <row r="1589" spans="1:5" x14ac:dyDescent="0.25">
      <c r="A1589" t="s">
        <v>12</v>
      </c>
      <c r="B1589" t="s">
        <v>8</v>
      </c>
      <c r="C1589">
        <v>60.08</v>
      </c>
      <c r="D1589">
        <v>57.139429999999997</v>
      </c>
      <c r="E1589" s="1">
        <v>40634</v>
      </c>
    </row>
    <row r="1590" spans="1:5" x14ac:dyDescent="0.25">
      <c r="A1590" t="s">
        <v>12</v>
      </c>
      <c r="B1590" t="s">
        <v>8</v>
      </c>
      <c r="C1590">
        <v>58.74</v>
      </c>
      <c r="D1590">
        <v>58.135629999999999</v>
      </c>
      <c r="E1590" s="1">
        <v>40664</v>
      </c>
    </row>
    <row r="1591" spans="1:5" x14ac:dyDescent="0.25">
      <c r="A1591" t="s">
        <v>12</v>
      </c>
      <c r="B1591" t="s">
        <v>8</v>
      </c>
      <c r="C1591">
        <v>59.87</v>
      </c>
      <c r="D1591">
        <v>60.155239999999999</v>
      </c>
      <c r="E1591" s="1">
        <v>40695</v>
      </c>
    </row>
    <row r="1592" spans="1:5" x14ac:dyDescent="0.25">
      <c r="A1592" t="s">
        <v>12</v>
      </c>
      <c r="B1592" t="s">
        <v>8</v>
      </c>
      <c r="C1592">
        <v>60.93</v>
      </c>
      <c r="D1592">
        <v>58.833069999999999</v>
      </c>
      <c r="E1592" s="1">
        <v>40725</v>
      </c>
    </row>
    <row r="1593" spans="1:5" x14ac:dyDescent="0.25">
      <c r="A1593" t="s">
        <v>12</v>
      </c>
      <c r="B1593" t="s">
        <v>8</v>
      </c>
      <c r="C1593">
        <v>61.59</v>
      </c>
      <c r="D1593">
        <v>60.478050000000003</v>
      </c>
      <c r="E1593" s="1">
        <v>40756</v>
      </c>
    </row>
    <row r="1594" spans="1:5" x14ac:dyDescent="0.25">
      <c r="A1594" t="s">
        <v>12</v>
      </c>
      <c r="B1594" t="s">
        <v>8</v>
      </c>
      <c r="C1594">
        <v>61.89</v>
      </c>
      <c r="D1594">
        <v>63.098030000000001</v>
      </c>
      <c r="E1594" s="1">
        <v>40787</v>
      </c>
    </row>
    <row r="1595" spans="1:5" x14ac:dyDescent="0.25">
      <c r="A1595" t="s">
        <v>12</v>
      </c>
      <c r="B1595" t="s">
        <v>8</v>
      </c>
      <c r="C1595">
        <v>61.62</v>
      </c>
      <c r="D1595">
        <v>61.128230000000002</v>
      </c>
      <c r="E1595" s="1">
        <v>40817</v>
      </c>
    </row>
    <row r="1596" spans="1:5" x14ac:dyDescent="0.25">
      <c r="A1596" t="s">
        <v>12</v>
      </c>
      <c r="B1596" t="s">
        <v>8</v>
      </c>
      <c r="C1596">
        <v>61.35</v>
      </c>
      <c r="D1596">
        <v>63.194400000000002</v>
      </c>
      <c r="E1596" s="1">
        <v>40848</v>
      </c>
    </row>
    <row r="1597" spans="1:5" x14ac:dyDescent="0.25">
      <c r="A1597" t="s">
        <v>12</v>
      </c>
      <c r="B1597" t="s">
        <v>8</v>
      </c>
      <c r="C1597">
        <v>60.22</v>
      </c>
      <c r="D1597">
        <v>69.552049999999994</v>
      </c>
      <c r="E1597" s="1">
        <v>40878</v>
      </c>
    </row>
    <row r="1598" spans="1:5" x14ac:dyDescent="0.25">
      <c r="A1598" t="s">
        <v>12</v>
      </c>
      <c r="B1598" t="s">
        <v>8</v>
      </c>
      <c r="C1598">
        <v>60.23</v>
      </c>
      <c r="D1598">
        <v>57.494709999999998</v>
      </c>
      <c r="E1598" s="1">
        <v>40909</v>
      </c>
    </row>
    <row r="1599" spans="1:5" x14ac:dyDescent="0.25">
      <c r="A1599" t="s">
        <v>12</v>
      </c>
      <c r="B1599" t="s">
        <v>8</v>
      </c>
      <c r="C1599">
        <v>61.08</v>
      </c>
      <c r="D1599">
        <v>59.079810000000002</v>
      </c>
      <c r="E1599" s="1">
        <v>40940</v>
      </c>
    </row>
    <row r="1600" spans="1:5" x14ac:dyDescent="0.25">
      <c r="A1600" t="s">
        <v>12</v>
      </c>
      <c r="B1600" t="s">
        <v>8</v>
      </c>
      <c r="C1600">
        <v>61.74</v>
      </c>
      <c r="D1600">
        <v>62.561590000000002</v>
      </c>
      <c r="E1600" s="1">
        <v>40969</v>
      </c>
    </row>
    <row r="1601" spans="1:5" x14ac:dyDescent="0.25">
      <c r="A1601" t="s">
        <v>12</v>
      </c>
      <c r="B1601" t="s">
        <v>8</v>
      </c>
      <c r="C1601">
        <v>61</v>
      </c>
      <c r="D1601">
        <v>57.861519999999999</v>
      </c>
      <c r="E1601" s="1">
        <v>41000</v>
      </c>
    </row>
    <row r="1602" spans="1:5" x14ac:dyDescent="0.25">
      <c r="A1602" t="s">
        <v>12</v>
      </c>
      <c r="B1602" t="s">
        <v>8</v>
      </c>
      <c r="C1602">
        <v>62.9</v>
      </c>
      <c r="D1602">
        <v>62.396340000000002</v>
      </c>
      <c r="E1602" s="1">
        <v>41030</v>
      </c>
    </row>
    <row r="1603" spans="1:5" x14ac:dyDescent="0.25">
      <c r="A1603" t="s">
        <v>12</v>
      </c>
      <c r="B1603" t="s">
        <v>8</v>
      </c>
      <c r="C1603">
        <v>61.6</v>
      </c>
      <c r="D1603">
        <v>61.838630000000002</v>
      </c>
      <c r="E1603" s="1">
        <v>41061</v>
      </c>
    </row>
    <row r="1604" spans="1:5" x14ac:dyDescent="0.25">
      <c r="A1604" t="s">
        <v>12</v>
      </c>
      <c r="B1604" t="s">
        <v>8</v>
      </c>
      <c r="C1604">
        <v>63.15</v>
      </c>
      <c r="D1604">
        <v>61.146030000000003</v>
      </c>
      <c r="E1604" s="1">
        <v>41091</v>
      </c>
    </row>
    <row r="1605" spans="1:5" x14ac:dyDescent="0.25">
      <c r="A1605" t="s">
        <v>12</v>
      </c>
      <c r="B1605" t="s">
        <v>8</v>
      </c>
      <c r="C1605">
        <v>63.76</v>
      </c>
      <c r="D1605">
        <v>63.186810000000001</v>
      </c>
      <c r="E1605" s="1">
        <v>41122</v>
      </c>
    </row>
    <row r="1606" spans="1:5" x14ac:dyDescent="0.25">
      <c r="A1606" t="s">
        <v>12</v>
      </c>
      <c r="B1606" t="s">
        <v>8</v>
      </c>
      <c r="C1606">
        <v>63.01</v>
      </c>
      <c r="D1606">
        <v>63.174959999999999</v>
      </c>
      <c r="E1606" s="1">
        <v>41153</v>
      </c>
    </row>
    <row r="1607" spans="1:5" x14ac:dyDescent="0.25">
      <c r="A1607" t="s">
        <v>12</v>
      </c>
      <c r="B1607" t="s">
        <v>8</v>
      </c>
      <c r="C1607">
        <v>63.11</v>
      </c>
      <c r="D1607">
        <v>63.225360000000002</v>
      </c>
      <c r="E1607" s="1">
        <v>41183</v>
      </c>
    </row>
    <row r="1608" spans="1:5" x14ac:dyDescent="0.25">
      <c r="A1608" t="s">
        <v>12</v>
      </c>
      <c r="B1608" t="s">
        <v>8</v>
      </c>
      <c r="C1608">
        <v>63.26</v>
      </c>
      <c r="D1608">
        <v>65.592219999999998</v>
      </c>
      <c r="E1608" s="1">
        <v>41214</v>
      </c>
    </row>
    <row r="1609" spans="1:5" x14ac:dyDescent="0.25">
      <c r="A1609" t="s">
        <v>12</v>
      </c>
      <c r="B1609" t="s">
        <v>8</v>
      </c>
      <c r="C1609">
        <v>66.14</v>
      </c>
      <c r="D1609">
        <v>75.370620000000002</v>
      </c>
      <c r="E1609" s="1">
        <v>41244</v>
      </c>
    </row>
    <row r="1610" spans="1:5" x14ac:dyDescent="0.25">
      <c r="A1610" t="s">
        <v>12</v>
      </c>
      <c r="B1610" t="s">
        <v>8</v>
      </c>
      <c r="C1610">
        <v>65.209999999999994</v>
      </c>
      <c r="D1610">
        <v>62.458089999999999</v>
      </c>
      <c r="E1610" s="1">
        <v>41275</v>
      </c>
    </row>
    <row r="1611" spans="1:5" x14ac:dyDescent="0.25">
      <c r="A1611" t="s">
        <v>12</v>
      </c>
      <c r="B1611" t="s">
        <v>8</v>
      </c>
      <c r="C1611">
        <v>66.11</v>
      </c>
      <c r="D1611">
        <v>62.096469999999997</v>
      </c>
      <c r="E1611" s="1">
        <v>41306</v>
      </c>
    </row>
    <row r="1612" spans="1:5" x14ac:dyDescent="0.25">
      <c r="A1612" t="s">
        <v>12</v>
      </c>
      <c r="B1612" t="s">
        <v>8</v>
      </c>
      <c r="C1612">
        <v>64.28</v>
      </c>
      <c r="D1612">
        <v>64.773719999999997</v>
      </c>
      <c r="E1612" s="1">
        <v>41334</v>
      </c>
    </row>
    <row r="1613" spans="1:5" x14ac:dyDescent="0.25">
      <c r="A1613" t="s">
        <v>12</v>
      </c>
      <c r="B1613" t="s">
        <v>8</v>
      </c>
      <c r="C1613">
        <v>66.95</v>
      </c>
      <c r="D1613">
        <v>63.875030000000002</v>
      </c>
      <c r="E1613" s="1">
        <v>41365</v>
      </c>
    </row>
    <row r="1614" spans="1:5" x14ac:dyDescent="0.25">
      <c r="A1614" t="s">
        <v>12</v>
      </c>
      <c r="B1614" t="s">
        <v>8</v>
      </c>
      <c r="C1614">
        <v>66.73</v>
      </c>
      <c r="D1614">
        <v>66.161670000000001</v>
      </c>
      <c r="E1614" s="1">
        <v>41395</v>
      </c>
    </row>
    <row r="1615" spans="1:5" x14ac:dyDescent="0.25">
      <c r="A1615" t="s">
        <v>12</v>
      </c>
      <c r="B1615" t="s">
        <v>8</v>
      </c>
      <c r="C1615">
        <v>67.459999999999994</v>
      </c>
      <c r="D1615">
        <v>67.582470000000001</v>
      </c>
      <c r="E1615" s="1">
        <v>41426</v>
      </c>
    </row>
    <row r="1616" spans="1:5" x14ac:dyDescent="0.25">
      <c r="A1616" t="s">
        <v>12</v>
      </c>
      <c r="B1616" t="s">
        <v>8</v>
      </c>
      <c r="C1616">
        <v>66.540000000000006</v>
      </c>
      <c r="D1616">
        <v>64.00882</v>
      </c>
      <c r="E1616" s="1">
        <v>41456</v>
      </c>
    </row>
    <row r="1617" spans="1:5" x14ac:dyDescent="0.25">
      <c r="A1617" t="s">
        <v>12</v>
      </c>
      <c r="B1617" t="s">
        <v>8</v>
      </c>
      <c r="C1617">
        <v>65.7</v>
      </c>
      <c r="D1617">
        <v>64.77028</v>
      </c>
      <c r="E1617" s="1">
        <v>41487</v>
      </c>
    </row>
    <row r="1618" spans="1:5" x14ac:dyDescent="0.25">
      <c r="A1618" t="s">
        <v>12</v>
      </c>
      <c r="B1618" t="s">
        <v>8</v>
      </c>
      <c r="C1618">
        <v>67.010000000000005</v>
      </c>
      <c r="D1618">
        <v>67.537490000000005</v>
      </c>
      <c r="E1618" s="1">
        <v>41518</v>
      </c>
    </row>
    <row r="1619" spans="1:5" x14ac:dyDescent="0.25">
      <c r="A1619" t="s">
        <v>12</v>
      </c>
      <c r="B1619" t="s">
        <v>8</v>
      </c>
      <c r="C1619">
        <v>68.56</v>
      </c>
      <c r="D1619">
        <v>69.108400000000003</v>
      </c>
      <c r="E1619" s="1">
        <v>41548</v>
      </c>
    </row>
    <row r="1620" spans="1:5" x14ac:dyDescent="0.25">
      <c r="A1620" t="s">
        <v>12</v>
      </c>
      <c r="B1620" t="s">
        <v>8</v>
      </c>
      <c r="C1620">
        <v>69.510000000000005</v>
      </c>
      <c r="D1620">
        <v>71.051429999999996</v>
      </c>
      <c r="E1620" s="1">
        <v>41579</v>
      </c>
    </row>
    <row r="1621" spans="1:5" x14ac:dyDescent="0.25">
      <c r="A1621" t="s">
        <v>12</v>
      </c>
      <c r="B1621" t="s">
        <v>8</v>
      </c>
      <c r="C1621">
        <v>70.09</v>
      </c>
      <c r="D1621">
        <v>81.241280000000003</v>
      </c>
      <c r="E1621" s="1">
        <v>41609</v>
      </c>
    </row>
    <row r="1622" spans="1:5" x14ac:dyDescent="0.25">
      <c r="A1622" t="s">
        <v>12</v>
      </c>
      <c r="B1622" t="s">
        <v>8</v>
      </c>
      <c r="C1622">
        <v>72.83</v>
      </c>
      <c r="D1622">
        <v>69.952969999999993</v>
      </c>
      <c r="E1622" s="1">
        <v>41640</v>
      </c>
    </row>
    <row r="1623" spans="1:5" x14ac:dyDescent="0.25">
      <c r="A1623" t="s">
        <v>12</v>
      </c>
      <c r="B1623" t="s">
        <v>8</v>
      </c>
      <c r="C1623">
        <v>67.28</v>
      </c>
      <c r="D1623">
        <v>63.837629999999997</v>
      </c>
      <c r="E1623" s="1">
        <v>41671</v>
      </c>
    </row>
    <row r="1624" spans="1:5" x14ac:dyDescent="0.25">
      <c r="A1624" t="s">
        <v>12</v>
      </c>
      <c r="B1624" t="s">
        <v>8</v>
      </c>
      <c r="C1624">
        <v>69.62</v>
      </c>
      <c r="D1624">
        <v>68.782150000000001</v>
      </c>
      <c r="E1624" s="1">
        <v>41699</v>
      </c>
    </row>
    <row r="1625" spans="1:5" x14ac:dyDescent="0.25">
      <c r="A1625" t="s">
        <v>12</v>
      </c>
      <c r="B1625" t="s">
        <v>8</v>
      </c>
      <c r="C1625">
        <v>69.02</v>
      </c>
      <c r="D1625">
        <v>65.651809999999998</v>
      </c>
      <c r="E1625" s="1">
        <v>41730</v>
      </c>
    </row>
    <row r="1626" spans="1:5" x14ac:dyDescent="0.25">
      <c r="A1626" t="s">
        <v>12</v>
      </c>
      <c r="B1626" t="s">
        <v>8</v>
      </c>
      <c r="C1626">
        <v>69.84</v>
      </c>
      <c r="D1626">
        <v>68.733360000000005</v>
      </c>
      <c r="E1626" s="1">
        <v>41760</v>
      </c>
    </row>
    <row r="1627" spans="1:5" x14ac:dyDescent="0.25">
      <c r="A1627" t="s">
        <v>12</v>
      </c>
      <c r="B1627" t="s">
        <v>8</v>
      </c>
      <c r="C1627">
        <v>70.17</v>
      </c>
      <c r="D1627">
        <v>70.796760000000006</v>
      </c>
      <c r="E1627" s="1">
        <v>41791</v>
      </c>
    </row>
    <row r="1628" spans="1:5" x14ac:dyDescent="0.25">
      <c r="A1628" t="s">
        <v>12</v>
      </c>
      <c r="B1628" t="s">
        <v>8</v>
      </c>
      <c r="C1628">
        <v>70.36</v>
      </c>
      <c r="D1628">
        <v>68.300169999999994</v>
      </c>
      <c r="E1628" s="1">
        <v>41821</v>
      </c>
    </row>
    <row r="1629" spans="1:5" x14ac:dyDescent="0.25">
      <c r="A1629" t="s">
        <v>12</v>
      </c>
      <c r="B1629" t="s">
        <v>8</v>
      </c>
      <c r="C1629">
        <v>70.45</v>
      </c>
      <c r="D1629">
        <v>69.516549999999995</v>
      </c>
      <c r="E1629" s="1">
        <v>41852</v>
      </c>
    </row>
    <row r="1630" spans="1:5" x14ac:dyDescent="0.25">
      <c r="A1630" t="s">
        <v>12</v>
      </c>
      <c r="B1630" t="s">
        <v>8</v>
      </c>
      <c r="C1630">
        <v>71.88</v>
      </c>
      <c r="D1630">
        <v>72.798370000000006</v>
      </c>
      <c r="E1630" s="1">
        <v>41883</v>
      </c>
    </row>
    <row r="1631" spans="1:5" x14ac:dyDescent="0.25">
      <c r="A1631" t="s">
        <v>12</v>
      </c>
      <c r="B1631" t="s">
        <v>8</v>
      </c>
      <c r="C1631">
        <v>72.92</v>
      </c>
      <c r="D1631">
        <v>73.266999999999996</v>
      </c>
      <c r="E1631" s="1">
        <v>41913</v>
      </c>
    </row>
    <row r="1632" spans="1:5" x14ac:dyDescent="0.25">
      <c r="A1632" t="s">
        <v>12</v>
      </c>
      <c r="B1632" t="s">
        <v>8</v>
      </c>
      <c r="C1632">
        <v>72.88</v>
      </c>
      <c r="D1632">
        <v>74.037949999999995</v>
      </c>
      <c r="E1632" s="1">
        <v>41944</v>
      </c>
    </row>
    <row r="1633" spans="1:5" x14ac:dyDescent="0.25">
      <c r="A1633" t="s">
        <v>12</v>
      </c>
      <c r="B1633" t="s">
        <v>8</v>
      </c>
      <c r="C1633">
        <v>69.22</v>
      </c>
      <c r="D1633">
        <v>79.741150000000005</v>
      </c>
      <c r="E1633" s="1">
        <v>41974</v>
      </c>
    </row>
    <row r="1634" spans="1:5" x14ac:dyDescent="0.25">
      <c r="A1634" t="s">
        <v>12</v>
      </c>
      <c r="B1634" t="s">
        <v>8</v>
      </c>
      <c r="C1634">
        <v>71.73</v>
      </c>
      <c r="D1634">
        <v>68.793300000000002</v>
      </c>
      <c r="E1634" s="1">
        <v>42005</v>
      </c>
    </row>
    <row r="1635" spans="1:5" x14ac:dyDescent="0.25">
      <c r="A1635" t="s">
        <v>12</v>
      </c>
      <c r="B1635" t="s">
        <v>8</v>
      </c>
      <c r="C1635">
        <v>73.44</v>
      </c>
      <c r="D1635">
        <v>68.983729999999994</v>
      </c>
      <c r="E1635" s="1">
        <v>42036</v>
      </c>
    </row>
    <row r="1636" spans="1:5" x14ac:dyDescent="0.25">
      <c r="A1636" t="s">
        <v>12</v>
      </c>
      <c r="B1636" t="s">
        <v>8</v>
      </c>
      <c r="C1636">
        <v>73.59</v>
      </c>
      <c r="D1636">
        <v>74.402410000000003</v>
      </c>
      <c r="E1636" s="1">
        <v>42064</v>
      </c>
    </row>
    <row r="1637" spans="1:5" x14ac:dyDescent="0.25">
      <c r="A1637" t="s">
        <v>12</v>
      </c>
      <c r="B1637" t="s">
        <v>8</v>
      </c>
      <c r="C1637">
        <v>71.92</v>
      </c>
      <c r="D1637">
        <v>68.034809999999993</v>
      </c>
      <c r="E1637" s="1">
        <v>42095</v>
      </c>
    </row>
    <row r="1638" spans="1:5" x14ac:dyDescent="0.25">
      <c r="A1638" t="s">
        <v>12</v>
      </c>
      <c r="B1638" t="s">
        <v>8</v>
      </c>
      <c r="C1638">
        <v>71.959999999999994</v>
      </c>
      <c r="D1638">
        <v>70.593140000000005</v>
      </c>
      <c r="E1638" s="1">
        <v>42125</v>
      </c>
    </row>
    <row r="1639" spans="1:5" x14ac:dyDescent="0.25">
      <c r="A1639" t="s">
        <v>12</v>
      </c>
      <c r="B1639" t="s">
        <v>8</v>
      </c>
      <c r="C1639">
        <v>71.02</v>
      </c>
      <c r="D1639">
        <v>72.370130000000003</v>
      </c>
      <c r="E1639" s="1">
        <v>42156</v>
      </c>
    </row>
    <row r="1640" spans="1:5" x14ac:dyDescent="0.25">
      <c r="A1640" t="s">
        <v>12</v>
      </c>
      <c r="B1640" t="s">
        <v>8</v>
      </c>
      <c r="C1640">
        <v>70.61</v>
      </c>
      <c r="D1640">
        <v>68.644760000000005</v>
      </c>
      <c r="E1640" s="1">
        <v>42186</v>
      </c>
    </row>
    <row r="1641" spans="1:5" x14ac:dyDescent="0.25">
      <c r="A1641" t="s">
        <v>12</v>
      </c>
      <c r="B1641" t="s">
        <v>8</v>
      </c>
      <c r="C1641">
        <v>70.73</v>
      </c>
      <c r="D1641">
        <v>69.068790000000007</v>
      </c>
      <c r="E1641" s="1">
        <v>42217</v>
      </c>
    </row>
    <row r="1642" spans="1:5" x14ac:dyDescent="0.25">
      <c r="A1642" t="s">
        <v>12</v>
      </c>
      <c r="B1642" t="s">
        <v>8</v>
      </c>
      <c r="C1642">
        <v>70.260000000000005</v>
      </c>
      <c r="D1642">
        <v>71.397260000000003</v>
      </c>
      <c r="E1642" s="1">
        <v>42248</v>
      </c>
    </row>
    <row r="1643" spans="1:5" x14ac:dyDescent="0.25">
      <c r="A1643" t="s">
        <v>12</v>
      </c>
      <c r="B1643" t="s">
        <v>8</v>
      </c>
      <c r="C1643">
        <v>69.52</v>
      </c>
      <c r="D1643">
        <v>69.125370000000004</v>
      </c>
      <c r="E1643" s="1">
        <v>42278</v>
      </c>
    </row>
    <row r="1644" spans="1:5" x14ac:dyDescent="0.25">
      <c r="A1644" t="s">
        <v>12</v>
      </c>
      <c r="B1644" t="s">
        <v>8</v>
      </c>
      <c r="C1644">
        <v>68.930000000000007</v>
      </c>
      <c r="D1644">
        <v>70.161299999999997</v>
      </c>
      <c r="E1644" s="1">
        <v>42309</v>
      </c>
    </row>
    <row r="1645" spans="1:5" x14ac:dyDescent="0.25">
      <c r="A1645" t="s">
        <v>12</v>
      </c>
      <c r="B1645" t="s">
        <v>8</v>
      </c>
      <c r="C1645">
        <v>69.13</v>
      </c>
      <c r="D1645">
        <v>80.250559999999993</v>
      </c>
      <c r="E1645" s="1">
        <v>42339</v>
      </c>
    </row>
    <row r="1646" spans="1:5" x14ac:dyDescent="0.25">
      <c r="A1646" t="s">
        <v>12</v>
      </c>
      <c r="B1646" t="s">
        <v>8</v>
      </c>
      <c r="C1646">
        <v>68.97</v>
      </c>
      <c r="D1646">
        <v>66.376990000000006</v>
      </c>
      <c r="E1646" s="1">
        <v>42370</v>
      </c>
    </row>
    <row r="1647" spans="1:5" x14ac:dyDescent="0.25">
      <c r="A1647" t="s">
        <v>12</v>
      </c>
      <c r="B1647" t="s">
        <v>8</v>
      </c>
      <c r="C1647">
        <v>65.2</v>
      </c>
      <c r="D1647">
        <v>62.903230000000001</v>
      </c>
      <c r="E1647" s="1">
        <v>42401</v>
      </c>
    </row>
    <row r="1648" spans="1:5" x14ac:dyDescent="0.25">
      <c r="A1648" t="s">
        <v>12</v>
      </c>
      <c r="B1648" t="s">
        <v>8</v>
      </c>
      <c r="C1648">
        <v>67.14</v>
      </c>
      <c r="D1648">
        <v>67.748760000000004</v>
      </c>
      <c r="E1648" s="1">
        <v>42430</v>
      </c>
    </row>
    <row r="1649" spans="1:5" x14ac:dyDescent="0.25">
      <c r="A1649" t="s">
        <v>12</v>
      </c>
      <c r="B1649" t="s">
        <v>8</v>
      </c>
      <c r="C1649">
        <v>68.86</v>
      </c>
      <c r="D1649">
        <v>65.263360000000006</v>
      </c>
      <c r="E1649" s="1">
        <v>42461</v>
      </c>
    </row>
    <row r="1650" spans="1:5" x14ac:dyDescent="0.25">
      <c r="A1650" t="s">
        <v>12</v>
      </c>
      <c r="B1650" t="s">
        <v>8</v>
      </c>
      <c r="C1650">
        <v>68.55</v>
      </c>
      <c r="D1650">
        <v>67.094939999999994</v>
      </c>
      <c r="E1650" s="1">
        <v>42491</v>
      </c>
    </row>
    <row r="1651" spans="1:5" x14ac:dyDescent="0.25">
      <c r="A1651" t="s">
        <v>12</v>
      </c>
      <c r="B1651" t="s">
        <v>8</v>
      </c>
      <c r="C1651">
        <v>68.150000000000006</v>
      </c>
      <c r="D1651">
        <v>69.835409999999996</v>
      </c>
      <c r="E1651" s="1">
        <v>42522</v>
      </c>
    </row>
    <row r="1652" spans="1:5" x14ac:dyDescent="0.25">
      <c r="A1652" t="s">
        <v>12</v>
      </c>
      <c r="B1652" t="s">
        <v>8</v>
      </c>
      <c r="C1652">
        <v>68.61</v>
      </c>
      <c r="D1652">
        <v>66.386849999999995</v>
      </c>
      <c r="E1652" s="1">
        <v>42552</v>
      </c>
    </row>
    <row r="1653" spans="1:5" x14ac:dyDescent="0.25">
      <c r="A1653" t="s">
        <v>12</v>
      </c>
      <c r="B1653" t="s">
        <v>8</v>
      </c>
      <c r="C1653">
        <v>69.209999999999994</v>
      </c>
      <c r="D1653">
        <v>68.50385</v>
      </c>
      <c r="E1653" s="1">
        <v>42583</v>
      </c>
    </row>
    <row r="1654" spans="1:5" x14ac:dyDescent="0.25">
      <c r="A1654" t="s">
        <v>12</v>
      </c>
      <c r="B1654" t="s">
        <v>8</v>
      </c>
      <c r="C1654">
        <v>69.67</v>
      </c>
      <c r="D1654">
        <v>71.299610000000001</v>
      </c>
      <c r="E1654" s="1">
        <v>42614</v>
      </c>
    </row>
    <row r="1655" spans="1:5" x14ac:dyDescent="0.25">
      <c r="A1655" t="s">
        <v>12</v>
      </c>
      <c r="B1655" t="s">
        <v>8</v>
      </c>
      <c r="C1655">
        <v>68.099999999999994</v>
      </c>
      <c r="D1655">
        <v>66.54213</v>
      </c>
      <c r="E1655" s="1">
        <v>42644</v>
      </c>
    </row>
    <row r="1656" spans="1:5" x14ac:dyDescent="0.25">
      <c r="A1656" t="s">
        <v>12</v>
      </c>
      <c r="B1656" t="s">
        <v>8</v>
      </c>
      <c r="C1656">
        <v>66.7</v>
      </c>
      <c r="D1656">
        <v>68.250529999999998</v>
      </c>
      <c r="E1656" s="1">
        <v>42675</v>
      </c>
    </row>
    <row r="1657" spans="1:5" x14ac:dyDescent="0.25">
      <c r="A1657" t="s">
        <v>12</v>
      </c>
      <c r="B1657" t="s">
        <v>8</v>
      </c>
      <c r="C1657">
        <v>64.819999999999993</v>
      </c>
      <c r="D1657">
        <v>74.775630000000007</v>
      </c>
      <c r="E1657" s="1">
        <v>42705</v>
      </c>
    </row>
    <row r="1658" spans="1:5" x14ac:dyDescent="0.25">
      <c r="A1658" t="s">
        <v>12</v>
      </c>
      <c r="B1658" t="s">
        <v>8</v>
      </c>
      <c r="C1658">
        <v>72.19</v>
      </c>
      <c r="D1658">
        <v>70.000749999999996</v>
      </c>
      <c r="E1658" s="1">
        <v>42736</v>
      </c>
    </row>
    <row r="1659" spans="1:5" x14ac:dyDescent="0.25">
      <c r="A1659" t="s">
        <v>12</v>
      </c>
      <c r="B1659" t="s">
        <v>8</v>
      </c>
      <c r="C1659">
        <v>72.39</v>
      </c>
      <c r="D1659">
        <v>67.531959999999998</v>
      </c>
      <c r="E1659" s="1">
        <v>42767</v>
      </c>
    </row>
    <row r="1660" spans="1:5" x14ac:dyDescent="0.25">
      <c r="A1660" t="s">
        <v>12</v>
      </c>
      <c r="B1660" t="s">
        <v>8</v>
      </c>
      <c r="C1660">
        <v>67.739999999999995</v>
      </c>
      <c r="D1660">
        <v>68.584069999999997</v>
      </c>
      <c r="E1660" s="1">
        <v>42795</v>
      </c>
    </row>
    <row r="1661" spans="1:5" x14ac:dyDescent="0.25">
      <c r="A1661" t="s">
        <v>12</v>
      </c>
      <c r="B1661" t="s">
        <v>8</v>
      </c>
      <c r="C1661">
        <v>70.39</v>
      </c>
      <c r="D1661">
        <v>66.054320000000004</v>
      </c>
      <c r="E1661" s="1">
        <v>42826</v>
      </c>
    </row>
    <row r="1662" spans="1:5" x14ac:dyDescent="0.25">
      <c r="A1662" t="s">
        <v>12</v>
      </c>
      <c r="B1662" t="s">
        <v>8</v>
      </c>
      <c r="C1662">
        <v>68.63</v>
      </c>
      <c r="D1662">
        <v>66.969170000000005</v>
      </c>
      <c r="E1662" s="1">
        <v>42856</v>
      </c>
    </row>
    <row r="1663" spans="1:5" x14ac:dyDescent="0.25">
      <c r="A1663" t="s">
        <v>12</v>
      </c>
      <c r="B1663" t="s">
        <v>8</v>
      </c>
      <c r="C1663">
        <v>70.78</v>
      </c>
      <c r="D1663">
        <v>73.289050000000003</v>
      </c>
      <c r="E1663" s="1">
        <v>42887</v>
      </c>
    </row>
    <row r="1664" spans="1:5" x14ac:dyDescent="0.25">
      <c r="A1664" t="s">
        <v>12</v>
      </c>
      <c r="B1664" t="s">
        <v>8</v>
      </c>
      <c r="C1664">
        <v>71</v>
      </c>
      <c r="D1664">
        <v>68.001609999999999</v>
      </c>
      <c r="E1664" s="1">
        <v>42917</v>
      </c>
    </row>
    <row r="1665" spans="1:5" x14ac:dyDescent="0.25">
      <c r="A1665" t="s">
        <v>12</v>
      </c>
      <c r="B1665" t="s">
        <v>8</v>
      </c>
      <c r="C1665">
        <v>70.290000000000006</v>
      </c>
      <c r="D1665">
        <v>70.325770000000006</v>
      </c>
      <c r="E1665" s="1">
        <v>42948</v>
      </c>
    </row>
    <row r="1666" spans="1:5" x14ac:dyDescent="0.25">
      <c r="A1666" t="s">
        <v>12</v>
      </c>
      <c r="B1666" t="s">
        <v>8</v>
      </c>
      <c r="C1666">
        <v>68.19</v>
      </c>
      <c r="D1666">
        <v>68.861429999999999</v>
      </c>
      <c r="E1666" s="1">
        <v>42979</v>
      </c>
    </row>
    <row r="1667" spans="1:5" x14ac:dyDescent="0.25">
      <c r="A1667" t="s">
        <v>12</v>
      </c>
      <c r="B1667" t="s">
        <v>8</v>
      </c>
      <c r="C1667">
        <v>68.56</v>
      </c>
      <c r="D1667">
        <v>67.957390000000004</v>
      </c>
      <c r="E1667" s="1">
        <v>43009</v>
      </c>
    </row>
    <row r="1668" spans="1:5" x14ac:dyDescent="0.25">
      <c r="A1668" t="s">
        <v>12</v>
      </c>
      <c r="B1668" t="s">
        <v>8</v>
      </c>
      <c r="C1668">
        <v>69.92</v>
      </c>
      <c r="D1668">
        <v>71.188980000000001</v>
      </c>
      <c r="E1668" s="1">
        <v>43040</v>
      </c>
    </row>
    <row r="1669" spans="1:5" x14ac:dyDescent="0.25">
      <c r="A1669" t="s">
        <v>12</v>
      </c>
      <c r="B1669" t="s">
        <v>8</v>
      </c>
      <c r="C1669">
        <v>68.13</v>
      </c>
      <c r="D1669">
        <v>78.536510000000007</v>
      </c>
      <c r="E1669" s="1">
        <v>43070</v>
      </c>
    </row>
    <row r="1670" spans="1:5" x14ac:dyDescent="0.25">
      <c r="A1670" t="s">
        <v>12</v>
      </c>
      <c r="B1670" t="s">
        <v>8</v>
      </c>
      <c r="C1670">
        <v>69.94</v>
      </c>
      <c r="D1670">
        <v>67.572370000000006</v>
      </c>
      <c r="E1670" s="1">
        <v>43101</v>
      </c>
    </row>
    <row r="1671" spans="1:5" x14ac:dyDescent="0.25">
      <c r="A1671" t="s">
        <v>12</v>
      </c>
      <c r="B1671" t="s">
        <v>8</v>
      </c>
      <c r="C1671">
        <v>68.849999999999994</v>
      </c>
      <c r="D1671">
        <v>64.058790000000002</v>
      </c>
      <c r="E1671" s="1">
        <v>43132</v>
      </c>
    </row>
    <row r="1672" spans="1:5" x14ac:dyDescent="0.25">
      <c r="A1672" t="s">
        <v>12</v>
      </c>
      <c r="B1672" t="s">
        <v>8</v>
      </c>
      <c r="C1672">
        <v>70.97</v>
      </c>
      <c r="D1672">
        <v>71.032669999999996</v>
      </c>
      <c r="E1672" s="1">
        <v>43160</v>
      </c>
    </row>
    <row r="1673" spans="1:5" x14ac:dyDescent="0.25">
      <c r="A1673" t="s">
        <v>12</v>
      </c>
      <c r="B1673" t="s">
        <v>8</v>
      </c>
      <c r="C1673">
        <v>69.63</v>
      </c>
      <c r="D1673">
        <v>65.915170000000003</v>
      </c>
      <c r="E1673" s="1">
        <v>43191</v>
      </c>
    </row>
    <row r="1674" spans="1:5" x14ac:dyDescent="0.25">
      <c r="A1674" t="s">
        <v>12</v>
      </c>
      <c r="B1674" t="s">
        <v>8</v>
      </c>
      <c r="C1674">
        <v>68.63</v>
      </c>
      <c r="D1674">
        <v>67.497500000000002</v>
      </c>
      <c r="E1674" s="1">
        <v>43221</v>
      </c>
    </row>
    <row r="1675" spans="1:5" x14ac:dyDescent="0.25">
      <c r="A1675" t="s">
        <v>12</v>
      </c>
      <c r="B1675" t="s">
        <v>8</v>
      </c>
      <c r="C1675">
        <v>72.73</v>
      </c>
      <c r="D1675">
        <v>74.455240000000003</v>
      </c>
      <c r="E1675" s="1">
        <v>43252</v>
      </c>
    </row>
    <row r="1676" spans="1:5" x14ac:dyDescent="0.25">
      <c r="A1676" t="s">
        <v>12</v>
      </c>
      <c r="B1676" t="s">
        <v>8</v>
      </c>
      <c r="C1676">
        <v>71.459999999999994</v>
      </c>
      <c r="D1676">
        <v>69.768990000000002</v>
      </c>
      <c r="E1676" s="1">
        <v>43282</v>
      </c>
    </row>
    <row r="1677" spans="1:5" x14ac:dyDescent="0.25">
      <c r="A1677" t="s">
        <v>12</v>
      </c>
      <c r="B1677" t="s">
        <v>8</v>
      </c>
      <c r="C1677">
        <v>72.650000000000006</v>
      </c>
      <c r="D1677">
        <v>72.795540000000003</v>
      </c>
      <c r="E1677" s="1">
        <v>43313</v>
      </c>
    </row>
    <row r="1678" spans="1:5" x14ac:dyDescent="0.25">
      <c r="A1678" t="s">
        <v>12</v>
      </c>
      <c r="B1678" t="s">
        <v>8</v>
      </c>
      <c r="C1678">
        <v>75.06</v>
      </c>
      <c r="D1678">
        <v>75.078729999999993</v>
      </c>
      <c r="E1678" s="1">
        <v>43344</v>
      </c>
    </row>
    <row r="1679" spans="1:5" x14ac:dyDescent="0.25">
      <c r="A1679" t="s">
        <v>12</v>
      </c>
      <c r="B1679" t="s">
        <v>8</v>
      </c>
      <c r="C1679">
        <v>74.430000000000007</v>
      </c>
      <c r="D1679">
        <v>73.367540000000005</v>
      </c>
      <c r="E1679" s="1">
        <v>43374</v>
      </c>
    </row>
    <row r="1680" spans="1:5" x14ac:dyDescent="0.25">
      <c r="A1680" t="s">
        <v>12</v>
      </c>
      <c r="B1680" t="s">
        <v>8</v>
      </c>
      <c r="C1680">
        <v>75</v>
      </c>
      <c r="D1680">
        <v>77.393339999999995</v>
      </c>
      <c r="E1680" s="1">
        <v>43405</v>
      </c>
    </row>
    <row r="1681" spans="1:5" x14ac:dyDescent="0.25">
      <c r="A1681" t="s">
        <v>12</v>
      </c>
      <c r="B1681" t="s">
        <v>8</v>
      </c>
      <c r="C1681">
        <v>76.98</v>
      </c>
      <c r="D1681">
        <v>87.689419999999998</v>
      </c>
      <c r="E1681" s="1">
        <v>43435</v>
      </c>
    </row>
    <row r="1682" spans="1:5" x14ac:dyDescent="0.25">
      <c r="A1682" t="s">
        <v>12</v>
      </c>
      <c r="B1682" t="s">
        <v>8</v>
      </c>
      <c r="C1682">
        <v>76.77</v>
      </c>
      <c r="D1682">
        <v>74.909599999999998</v>
      </c>
      <c r="E1682" s="1">
        <v>43466</v>
      </c>
    </row>
    <row r="1683" spans="1:5" x14ac:dyDescent="0.25">
      <c r="A1683" t="s">
        <v>12</v>
      </c>
      <c r="B1683" t="s">
        <v>8</v>
      </c>
      <c r="C1683">
        <v>80.150000000000006</v>
      </c>
      <c r="D1683">
        <v>75.264840000000007</v>
      </c>
      <c r="E1683" s="1">
        <v>43497</v>
      </c>
    </row>
    <row r="1684" spans="1:5" x14ac:dyDescent="0.25">
      <c r="A1684" t="s">
        <v>12</v>
      </c>
      <c r="B1684" t="s">
        <v>8</v>
      </c>
      <c r="C1684">
        <v>78.53</v>
      </c>
      <c r="D1684">
        <v>77.771240000000006</v>
      </c>
      <c r="E1684" s="1">
        <v>43525</v>
      </c>
    </row>
    <row r="1685" spans="1:5" x14ac:dyDescent="0.25">
      <c r="A1685" t="s">
        <v>12</v>
      </c>
      <c r="B1685" t="s">
        <v>8</v>
      </c>
      <c r="C1685">
        <v>77.45</v>
      </c>
      <c r="D1685">
        <v>73.359809999999996</v>
      </c>
      <c r="E1685" s="1">
        <v>43556</v>
      </c>
    </row>
    <row r="1686" spans="1:5" x14ac:dyDescent="0.25">
      <c r="A1686" t="s">
        <v>12</v>
      </c>
      <c r="B1686" t="s">
        <v>8</v>
      </c>
      <c r="C1686">
        <v>79.400000000000006</v>
      </c>
      <c r="D1686">
        <v>78.100440000000006</v>
      </c>
      <c r="E1686" s="1">
        <v>43586</v>
      </c>
    </row>
    <row r="1687" spans="1:5" x14ac:dyDescent="0.25">
      <c r="A1687" t="s">
        <v>12</v>
      </c>
      <c r="B1687" t="s">
        <v>8</v>
      </c>
      <c r="C1687">
        <v>77.13</v>
      </c>
      <c r="D1687">
        <v>78.465270000000004</v>
      </c>
      <c r="E1687" s="1">
        <v>43617</v>
      </c>
    </row>
    <row r="1688" spans="1:5" x14ac:dyDescent="0.25">
      <c r="A1688" t="s">
        <v>12</v>
      </c>
      <c r="B1688" t="s">
        <v>8</v>
      </c>
      <c r="C1688">
        <v>78.040000000000006</v>
      </c>
      <c r="D1688">
        <v>75.912199999999999</v>
      </c>
      <c r="E1688" s="1">
        <v>43647</v>
      </c>
    </row>
    <row r="1689" spans="1:5" x14ac:dyDescent="0.25">
      <c r="A1689" t="s">
        <v>12</v>
      </c>
      <c r="B1689" t="s">
        <v>8</v>
      </c>
      <c r="C1689">
        <v>79.11</v>
      </c>
      <c r="D1689">
        <v>78.733519999999999</v>
      </c>
      <c r="E1689" s="1">
        <v>43678</v>
      </c>
    </row>
    <row r="1690" spans="1:5" x14ac:dyDescent="0.25">
      <c r="A1690" t="s">
        <v>12</v>
      </c>
      <c r="B1690" t="s">
        <v>8</v>
      </c>
      <c r="C1690">
        <v>79.180000000000007</v>
      </c>
      <c r="D1690">
        <v>79.287840000000003</v>
      </c>
      <c r="E1690" s="1">
        <v>43709</v>
      </c>
    </row>
    <row r="1691" spans="1:5" x14ac:dyDescent="0.25">
      <c r="A1691" t="s">
        <v>12</v>
      </c>
      <c r="B1691" t="s">
        <v>8</v>
      </c>
      <c r="C1691">
        <v>79.930000000000007</v>
      </c>
      <c r="D1691">
        <v>79.662409999999994</v>
      </c>
      <c r="E1691" s="1">
        <v>43739</v>
      </c>
    </row>
    <row r="1692" spans="1:5" x14ac:dyDescent="0.25">
      <c r="A1692" t="s">
        <v>12</v>
      </c>
      <c r="B1692" t="s">
        <v>8</v>
      </c>
      <c r="C1692">
        <v>79.55</v>
      </c>
      <c r="D1692">
        <v>81.434820000000002</v>
      </c>
      <c r="E1692" s="1">
        <v>43770</v>
      </c>
    </row>
    <row r="1693" spans="1:5" x14ac:dyDescent="0.25">
      <c r="A1693" t="s">
        <v>12</v>
      </c>
      <c r="B1693" t="s">
        <v>8</v>
      </c>
      <c r="C1693">
        <v>80.92</v>
      </c>
      <c r="D1693">
        <v>93.793189999999996</v>
      </c>
      <c r="E1693" s="1">
        <v>43800</v>
      </c>
    </row>
    <row r="1694" spans="1:5" x14ac:dyDescent="0.25">
      <c r="A1694" t="s">
        <v>12</v>
      </c>
      <c r="B1694" t="s">
        <v>8</v>
      </c>
      <c r="C1694">
        <v>81.209999999999994</v>
      </c>
      <c r="D1694">
        <v>79.143410000000003</v>
      </c>
      <c r="E1694" s="1">
        <v>43831</v>
      </c>
    </row>
    <row r="1695" spans="1:5" x14ac:dyDescent="0.25">
      <c r="A1695" t="s">
        <v>12</v>
      </c>
      <c r="B1695" t="s">
        <v>8</v>
      </c>
      <c r="C1695">
        <v>80.53</v>
      </c>
      <c r="D1695">
        <v>76.680660000000003</v>
      </c>
      <c r="E1695" s="1">
        <v>43862</v>
      </c>
    </row>
    <row r="1696" spans="1:5" x14ac:dyDescent="0.25">
      <c r="A1696" t="s">
        <v>12</v>
      </c>
      <c r="B1696" t="s">
        <v>8</v>
      </c>
      <c r="C1696">
        <v>78.430000000000007</v>
      </c>
      <c r="D1696">
        <v>78.711690000000004</v>
      </c>
      <c r="E1696" s="1">
        <v>43891</v>
      </c>
    </row>
    <row r="1697" spans="1:5" x14ac:dyDescent="0.25">
      <c r="A1697" t="s">
        <v>12</v>
      </c>
      <c r="B1697" t="s">
        <v>8</v>
      </c>
      <c r="C1697">
        <v>75.98</v>
      </c>
      <c r="D1697">
        <v>71.822800000000001</v>
      </c>
      <c r="E1697" s="1">
        <v>43922</v>
      </c>
    </row>
    <row r="1698" spans="1:5" x14ac:dyDescent="0.25">
      <c r="A1698" t="s">
        <v>12</v>
      </c>
      <c r="B1698" t="s">
        <v>8</v>
      </c>
      <c r="C1698">
        <v>74.36</v>
      </c>
      <c r="D1698">
        <v>72.542140000000003</v>
      </c>
      <c r="E1698" s="1">
        <v>43952</v>
      </c>
    </row>
    <row r="1699" spans="1:5" x14ac:dyDescent="0.25">
      <c r="A1699" t="s">
        <v>12</v>
      </c>
      <c r="B1699" t="s">
        <v>8</v>
      </c>
      <c r="C1699">
        <v>78.17</v>
      </c>
      <c r="D1699">
        <v>79.914209999999997</v>
      </c>
      <c r="E1699" s="1">
        <v>43983</v>
      </c>
    </row>
    <row r="1700" spans="1:5" x14ac:dyDescent="0.25">
      <c r="A1700" t="s">
        <v>12</v>
      </c>
      <c r="B1700" t="s">
        <v>8</v>
      </c>
      <c r="C1700">
        <v>80.180000000000007</v>
      </c>
      <c r="D1700">
        <v>78.89564</v>
      </c>
      <c r="E1700" s="1">
        <v>44013</v>
      </c>
    </row>
    <row r="1701" spans="1:5" x14ac:dyDescent="0.25">
      <c r="A1701" t="s">
        <v>12</v>
      </c>
      <c r="B1701" t="s">
        <v>8</v>
      </c>
      <c r="C1701">
        <v>80.209999999999994</v>
      </c>
      <c r="D1701">
        <v>78.755330000000001</v>
      </c>
      <c r="E1701" s="1">
        <v>44044</v>
      </c>
    </row>
    <row r="1702" spans="1:5" x14ac:dyDescent="0.25">
      <c r="A1702" t="s">
        <v>12</v>
      </c>
      <c r="B1702" t="s">
        <v>8</v>
      </c>
      <c r="C1702">
        <v>81.61</v>
      </c>
      <c r="D1702">
        <v>82.030839999999998</v>
      </c>
      <c r="E1702" s="1">
        <v>44075</v>
      </c>
    </row>
    <row r="1703" spans="1:5" x14ac:dyDescent="0.25">
      <c r="A1703" t="s">
        <v>12</v>
      </c>
      <c r="B1703" t="s">
        <v>8</v>
      </c>
      <c r="C1703">
        <v>84.64</v>
      </c>
      <c r="D1703">
        <v>84.165310000000005</v>
      </c>
      <c r="E1703" s="1">
        <v>44105</v>
      </c>
    </row>
    <row r="1704" spans="1:5" x14ac:dyDescent="0.25">
      <c r="A1704" t="s">
        <v>12</v>
      </c>
      <c r="B1704" t="s">
        <v>8</v>
      </c>
      <c r="C1704">
        <v>84.87</v>
      </c>
      <c r="D1704">
        <v>87.278899999999993</v>
      </c>
      <c r="E1704" s="1">
        <v>44136</v>
      </c>
    </row>
    <row r="1705" spans="1:5" x14ac:dyDescent="0.25">
      <c r="A1705" t="s">
        <v>12</v>
      </c>
      <c r="B1705" t="s">
        <v>8</v>
      </c>
      <c r="C1705">
        <v>85.62</v>
      </c>
      <c r="D1705">
        <v>99.624399999999994</v>
      </c>
      <c r="E1705" s="1">
        <v>44166</v>
      </c>
    </row>
    <row r="1706" spans="1:5" x14ac:dyDescent="0.25">
      <c r="A1706" t="s">
        <v>12</v>
      </c>
      <c r="B1706" t="s">
        <v>8</v>
      </c>
      <c r="C1706">
        <v>87.13</v>
      </c>
      <c r="D1706">
        <v>84.242829999999998</v>
      </c>
      <c r="E1706" s="1">
        <v>44197</v>
      </c>
    </row>
    <row r="1707" spans="1:5" x14ac:dyDescent="0.25">
      <c r="A1707" t="s">
        <v>12</v>
      </c>
      <c r="B1707" t="s">
        <v>8</v>
      </c>
      <c r="C1707">
        <v>89.23</v>
      </c>
      <c r="D1707">
        <v>82.803809999999999</v>
      </c>
      <c r="E1707" s="1">
        <v>44228</v>
      </c>
    </row>
    <row r="1708" spans="1:5" x14ac:dyDescent="0.25">
      <c r="A1708" t="s">
        <v>12</v>
      </c>
      <c r="B1708" t="s">
        <v>8</v>
      </c>
      <c r="C1708">
        <v>90.16</v>
      </c>
      <c r="D1708">
        <v>89.732569999999996</v>
      </c>
      <c r="E1708" s="1">
        <v>44256</v>
      </c>
    </row>
    <row r="1709" spans="1:5" x14ac:dyDescent="0.25">
      <c r="A1709" t="s">
        <v>12</v>
      </c>
      <c r="B1709" t="s">
        <v>8</v>
      </c>
      <c r="C1709">
        <v>92.77</v>
      </c>
      <c r="D1709">
        <v>88.633499999999998</v>
      </c>
      <c r="E1709" s="1">
        <v>44287</v>
      </c>
    </row>
    <row r="1710" spans="1:5" x14ac:dyDescent="0.25">
      <c r="A1710" t="s">
        <v>12</v>
      </c>
      <c r="B1710" t="s">
        <v>8</v>
      </c>
      <c r="C1710">
        <v>92.92</v>
      </c>
      <c r="D1710">
        <v>89.148799999999994</v>
      </c>
      <c r="E1710" s="1">
        <v>44317</v>
      </c>
    </row>
    <row r="1711" spans="1:5" x14ac:dyDescent="0.25">
      <c r="A1711" t="s">
        <v>12</v>
      </c>
      <c r="B1711" t="s">
        <v>8</v>
      </c>
      <c r="C1711">
        <v>93.38</v>
      </c>
      <c r="D1711">
        <v>95.318709999999996</v>
      </c>
      <c r="E1711" s="1">
        <v>44348</v>
      </c>
    </row>
    <row r="1712" spans="1:5" x14ac:dyDescent="0.25">
      <c r="A1712" t="s">
        <v>12</v>
      </c>
      <c r="B1712" t="s">
        <v>8</v>
      </c>
      <c r="C1712">
        <v>93.98</v>
      </c>
      <c r="D1712">
        <v>92.276449999999997</v>
      </c>
      <c r="E1712" s="1">
        <v>44378</v>
      </c>
    </row>
    <row r="1713" spans="1:5" x14ac:dyDescent="0.25">
      <c r="A1713" t="s">
        <v>12</v>
      </c>
      <c r="B1713" t="s">
        <v>8</v>
      </c>
      <c r="C1713">
        <v>95.25</v>
      </c>
      <c r="D1713">
        <v>95.024190000000004</v>
      </c>
      <c r="E1713" s="1">
        <v>44409</v>
      </c>
    </row>
    <row r="1714" spans="1:5" x14ac:dyDescent="0.25">
      <c r="A1714" t="s">
        <v>12</v>
      </c>
      <c r="B1714" t="s">
        <v>8</v>
      </c>
      <c r="C1714">
        <v>94.25</v>
      </c>
      <c r="D1714">
        <v>94.418170000000003</v>
      </c>
      <c r="E1714" s="1">
        <v>44440</v>
      </c>
    </row>
    <row r="1715" spans="1:5" x14ac:dyDescent="0.25">
      <c r="A1715" t="s">
        <v>12</v>
      </c>
      <c r="B1715" t="s">
        <v>8</v>
      </c>
      <c r="C1715">
        <v>94.14</v>
      </c>
      <c r="D1715">
        <v>93.754220000000004</v>
      </c>
      <c r="E1715" s="1">
        <v>44470</v>
      </c>
    </row>
    <row r="1716" spans="1:5" x14ac:dyDescent="0.25">
      <c r="A1716" t="s">
        <v>12</v>
      </c>
      <c r="B1716" t="s">
        <v>8</v>
      </c>
      <c r="C1716">
        <v>99.21</v>
      </c>
      <c r="D1716">
        <v>102.90155</v>
      </c>
      <c r="E1716" s="1">
        <v>44501</v>
      </c>
    </row>
    <row r="1717" spans="1:5" x14ac:dyDescent="0.25">
      <c r="A1717" t="s">
        <v>12</v>
      </c>
      <c r="B1717" t="s">
        <v>8</v>
      </c>
      <c r="C1717">
        <v>100.31</v>
      </c>
      <c r="D1717">
        <v>116.72269</v>
      </c>
      <c r="E1717" s="1">
        <v>44531</v>
      </c>
    </row>
    <row r="1718" spans="1:5" x14ac:dyDescent="0.25">
      <c r="A1718" t="s">
        <v>12</v>
      </c>
      <c r="B1718" t="s">
        <v>8</v>
      </c>
      <c r="C1718">
        <v>96.52</v>
      </c>
      <c r="D1718">
        <v>91.965190000000007</v>
      </c>
      <c r="E1718" s="1">
        <v>44562</v>
      </c>
    </row>
    <row r="1719" spans="1:5" x14ac:dyDescent="0.25">
      <c r="A1719" t="s">
        <v>12</v>
      </c>
      <c r="B1719" t="s">
        <v>8</v>
      </c>
      <c r="C1719">
        <v>95.11</v>
      </c>
      <c r="D1719">
        <v>88.379480000000001</v>
      </c>
      <c r="E1719" s="1">
        <v>44593</v>
      </c>
    </row>
    <row r="1720" spans="1:5" x14ac:dyDescent="0.25">
      <c r="A1720" t="s">
        <v>12</v>
      </c>
      <c r="B1720" t="s">
        <v>8</v>
      </c>
      <c r="C1720">
        <v>97.32</v>
      </c>
      <c r="D1720">
        <v>97.555120000000002</v>
      </c>
      <c r="E1720" s="1">
        <v>44621</v>
      </c>
    </row>
    <row r="1721" spans="1:5" x14ac:dyDescent="0.25">
      <c r="A1721" t="s">
        <v>12</v>
      </c>
      <c r="B1721" t="s">
        <v>8</v>
      </c>
      <c r="C1721">
        <v>98.55</v>
      </c>
      <c r="D1721">
        <v>93.028750000000002</v>
      </c>
      <c r="E1721" s="1">
        <v>44652</v>
      </c>
    </row>
    <row r="1722" spans="1:5" x14ac:dyDescent="0.25">
      <c r="A1722" t="s">
        <v>12</v>
      </c>
      <c r="B1722" t="s">
        <v>8</v>
      </c>
      <c r="C1722">
        <v>99.93</v>
      </c>
      <c r="D1722">
        <v>96.984350000000006</v>
      </c>
      <c r="E1722" s="1">
        <v>44682</v>
      </c>
    </row>
    <row r="1723" spans="1:5" x14ac:dyDescent="0.25">
      <c r="A1723" t="s">
        <v>12</v>
      </c>
      <c r="B1723" t="s">
        <v>8</v>
      </c>
      <c r="C1723">
        <v>98.64</v>
      </c>
      <c r="D1723">
        <v>99.951220000000006</v>
      </c>
      <c r="E1723" s="1">
        <v>44713</v>
      </c>
    </row>
    <row r="1724" spans="1:5" x14ac:dyDescent="0.25">
      <c r="A1724" t="s">
        <v>12</v>
      </c>
      <c r="B1724" t="s">
        <v>8</v>
      </c>
      <c r="C1724">
        <v>100.14</v>
      </c>
      <c r="D1724">
        <v>98.737790000000004</v>
      </c>
      <c r="E1724" s="1">
        <v>44743</v>
      </c>
    </row>
    <row r="1725" spans="1:5" x14ac:dyDescent="0.25">
      <c r="A1725" t="s">
        <v>12</v>
      </c>
      <c r="B1725" t="s">
        <v>8</v>
      </c>
      <c r="C1725">
        <v>101.89</v>
      </c>
      <c r="D1725">
        <v>101.05492</v>
      </c>
      <c r="E1725" s="1">
        <v>44774</v>
      </c>
    </row>
    <row r="1726" spans="1:5" x14ac:dyDescent="0.25">
      <c r="A1726" t="s">
        <v>12</v>
      </c>
      <c r="B1726" t="s">
        <v>8</v>
      </c>
      <c r="C1726">
        <v>102.73</v>
      </c>
      <c r="D1726">
        <v>104.10391</v>
      </c>
      <c r="E1726" s="1">
        <v>44805</v>
      </c>
    </row>
    <row r="1727" spans="1:5" x14ac:dyDescent="0.25">
      <c r="A1727" t="s">
        <v>12</v>
      </c>
      <c r="B1727" t="s">
        <v>8</v>
      </c>
      <c r="C1727">
        <v>108.87</v>
      </c>
      <c r="D1727">
        <v>107.09786</v>
      </c>
      <c r="E1727" s="1">
        <v>44835</v>
      </c>
    </row>
    <row r="1728" spans="1:5" x14ac:dyDescent="0.25">
      <c r="A1728" t="s">
        <v>12</v>
      </c>
      <c r="B1728" t="s">
        <v>8</v>
      </c>
      <c r="C1728">
        <v>103.25</v>
      </c>
      <c r="D1728">
        <v>107.64257000000001</v>
      </c>
      <c r="E1728" s="1">
        <v>44866</v>
      </c>
    </row>
    <row r="1729" spans="1:5" x14ac:dyDescent="0.25">
      <c r="A1729" t="s">
        <v>12</v>
      </c>
      <c r="B1729" t="s">
        <v>8</v>
      </c>
      <c r="C1729">
        <v>98.29</v>
      </c>
      <c r="D1729">
        <v>113.49885</v>
      </c>
      <c r="E1729" s="1">
        <v>44896</v>
      </c>
    </row>
    <row r="1730" spans="1:5" x14ac:dyDescent="0.25">
      <c r="A1730" t="s">
        <v>12</v>
      </c>
      <c r="B1730" t="s">
        <v>8</v>
      </c>
      <c r="C1730">
        <v>101.28</v>
      </c>
      <c r="D1730">
        <v>98.055779999999999</v>
      </c>
      <c r="E1730" s="1">
        <v>44927</v>
      </c>
    </row>
    <row r="1731" spans="1:5" x14ac:dyDescent="0.25">
      <c r="A1731" t="s">
        <v>12</v>
      </c>
      <c r="B1731" t="s">
        <v>8</v>
      </c>
      <c r="C1731">
        <v>100.97</v>
      </c>
      <c r="D1731">
        <v>93.888249999999999</v>
      </c>
      <c r="E1731" s="1">
        <v>44958</v>
      </c>
    </row>
    <row r="1732" spans="1:5" x14ac:dyDescent="0.25">
      <c r="A1732" t="s">
        <v>12</v>
      </c>
      <c r="B1732" t="s">
        <v>8</v>
      </c>
      <c r="C1732">
        <v>100.5</v>
      </c>
      <c r="D1732">
        <v>100.86185999999999</v>
      </c>
      <c r="E1732" s="1">
        <v>44986</v>
      </c>
    </row>
    <row r="1733" spans="1:5" x14ac:dyDescent="0.25">
      <c r="A1733" t="s">
        <v>12</v>
      </c>
      <c r="B1733" t="s">
        <v>8</v>
      </c>
      <c r="C1733">
        <v>99.42</v>
      </c>
      <c r="D1733">
        <v>93.319429999999997</v>
      </c>
      <c r="E1733" s="1">
        <v>45017</v>
      </c>
    </row>
    <row r="1734" spans="1:5" x14ac:dyDescent="0.25">
      <c r="A1734" t="s">
        <v>12</v>
      </c>
      <c r="B1734" t="s">
        <v>8</v>
      </c>
      <c r="C1734">
        <v>99.03</v>
      </c>
      <c r="D1734">
        <v>95.294629999999998</v>
      </c>
      <c r="E1734" s="1">
        <v>45047</v>
      </c>
    </row>
    <row r="1735" spans="1:5" x14ac:dyDescent="0.25">
      <c r="A1735" t="s">
        <v>12</v>
      </c>
      <c r="B1735" t="s">
        <v>8</v>
      </c>
      <c r="C1735">
        <v>102.13</v>
      </c>
      <c r="D1735">
        <v>104.30584</v>
      </c>
      <c r="E1735" s="1">
        <v>45078</v>
      </c>
    </row>
    <row r="1736" spans="1:5" x14ac:dyDescent="0.25">
      <c r="A1736" t="s">
        <v>12</v>
      </c>
      <c r="B1736" t="s">
        <v>8</v>
      </c>
      <c r="C1736">
        <v>101.01</v>
      </c>
      <c r="D1736">
        <v>98.611609999999999</v>
      </c>
      <c r="E1736" s="1">
        <v>45108</v>
      </c>
    </row>
    <row r="1737" spans="1:5" x14ac:dyDescent="0.25">
      <c r="A1737" t="s">
        <v>12</v>
      </c>
      <c r="B1737" t="s">
        <v>8</v>
      </c>
      <c r="C1737">
        <v>101.16</v>
      </c>
      <c r="D1737">
        <v>101.09862</v>
      </c>
      <c r="E1737" s="1">
        <v>45139</v>
      </c>
    </row>
    <row r="1738" spans="1:5" x14ac:dyDescent="0.25">
      <c r="A1738" t="s">
        <v>12</v>
      </c>
      <c r="B1738" t="s">
        <v>8</v>
      </c>
      <c r="C1738">
        <v>101.13</v>
      </c>
      <c r="D1738">
        <v>101.50778</v>
      </c>
      <c r="E1738" s="1">
        <v>45170</v>
      </c>
    </row>
    <row r="1739" spans="1:5" x14ac:dyDescent="0.25">
      <c r="A1739" t="s">
        <v>12</v>
      </c>
      <c r="B1739" t="s">
        <v>8</v>
      </c>
      <c r="C1739">
        <v>102.75</v>
      </c>
      <c r="D1739">
        <v>102.70399</v>
      </c>
      <c r="E1739" s="1">
        <v>45200</v>
      </c>
    </row>
    <row r="1740" spans="1:5" x14ac:dyDescent="0.25">
      <c r="A1740" t="s">
        <v>12</v>
      </c>
      <c r="B1740" t="s">
        <v>8</v>
      </c>
      <c r="C1740">
        <v>103.24</v>
      </c>
      <c r="D1740">
        <v>107.32047</v>
      </c>
      <c r="E1740" s="1">
        <v>45231</v>
      </c>
    </row>
    <row r="1741" spans="1:5" x14ac:dyDescent="0.25">
      <c r="A1741" t="s">
        <v>12</v>
      </c>
      <c r="B1741" t="s">
        <v>8</v>
      </c>
      <c r="C1741">
        <v>103.35</v>
      </c>
      <c r="D1741">
        <v>119.0322</v>
      </c>
      <c r="E1741" s="1">
        <v>45261</v>
      </c>
    </row>
    <row r="1742" spans="1:5" x14ac:dyDescent="0.25">
      <c r="A1742" t="s">
        <v>12</v>
      </c>
      <c r="B1742" t="s">
        <v>8</v>
      </c>
      <c r="C1742">
        <v>104.16</v>
      </c>
      <c r="D1742">
        <v>100.25763999999999</v>
      </c>
      <c r="E1742" s="1">
        <v>45292</v>
      </c>
    </row>
    <row r="1743" spans="1:5" x14ac:dyDescent="0.25">
      <c r="A1743" t="s">
        <v>12</v>
      </c>
      <c r="B1743" t="s">
        <v>8</v>
      </c>
      <c r="C1743">
        <v>98.9</v>
      </c>
      <c r="D1743">
        <v>95.636750000000006</v>
      </c>
      <c r="E1743" s="1">
        <v>45323</v>
      </c>
    </row>
    <row r="1744" spans="1:5" x14ac:dyDescent="0.25">
      <c r="A1744" t="s">
        <v>12</v>
      </c>
      <c r="B1744" t="s">
        <v>8</v>
      </c>
      <c r="C1744">
        <v>106.26</v>
      </c>
      <c r="D1744">
        <v>105.69256</v>
      </c>
      <c r="E1744" s="1">
        <v>45352</v>
      </c>
    </row>
    <row r="1745" spans="1:5" x14ac:dyDescent="0.25">
      <c r="A1745" t="s">
        <v>12</v>
      </c>
      <c r="B1745" t="s">
        <v>8</v>
      </c>
      <c r="C1745">
        <v>106.41</v>
      </c>
      <c r="D1745">
        <v>100.99605</v>
      </c>
      <c r="E1745" s="1">
        <v>45383</v>
      </c>
    </row>
    <row r="1746" spans="1:5" x14ac:dyDescent="0.25">
      <c r="A1746" t="s">
        <v>12</v>
      </c>
      <c r="B1746" t="s">
        <v>8</v>
      </c>
      <c r="C1746">
        <v>105.77</v>
      </c>
      <c r="D1746">
        <v>102.50584000000001</v>
      </c>
      <c r="E1746" s="1">
        <v>45413</v>
      </c>
    </row>
    <row r="1747" spans="1:5" x14ac:dyDescent="0.25">
      <c r="A1747" t="s">
        <v>12</v>
      </c>
      <c r="B1747" t="s">
        <v>8</v>
      </c>
      <c r="C1747">
        <v>107.39</v>
      </c>
      <c r="D1747">
        <v>107.67151</v>
      </c>
      <c r="E1747" s="1">
        <v>45444</v>
      </c>
    </row>
    <row r="1748" spans="1:5" x14ac:dyDescent="0.25">
      <c r="A1748" t="s">
        <v>12</v>
      </c>
      <c r="B1748" t="s">
        <v>8</v>
      </c>
      <c r="C1748">
        <v>109.12</v>
      </c>
      <c r="D1748">
        <v>107.82514999999999</v>
      </c>
      <c r="E1748" s="1">
        <v>45474</v>
      </c>
    </row>
    <row r="1749" spans="1:5" x14ac:dyDescent="0.25">
      <c r="A1749" t="s">
        <v>12</v>
      </c>
      <c r="B1749" t="s">
        <v>8</v>
      </c>
      <c r="C1749">
        <v>109.25</v>
      </c>
      <c r="D1749">
        <v>108.47038000000001</v>
      </c>
      <c r="E1749" s="1">
        <v>45505</v>
      </c>
    </row>
    <row r="1750" spans="1:5" x14ac:dyDescent="0.25">
      <c r="A1750" t="s">
        <v>12</v>
      </c>
      <c r="B1750" t="s">
        <v>8</v>
      </c>
      <c r="C1750">
        <v>110.85</v>
      </c>
      <c r="D1750">
        <v>111.36199999999999</v>
      </c>
      <c r="E1750" s="1">
        <v>45536</v>
      </c>
    </row>
    <row r="1751" spans="1:5" x14ac:dyDescent="0.25">
      <c r="A1751" t="s">
        <v>12</v>
      </c>
      <c r="B1751" t="s">
        <v>8</v>
      </c>
      <c r="C1751">
        <v>109.59</v>
      </c>
      <c r="D1751">
        <v>109.85639</v>
      </c>
      <c r="E1751" s="1">
        <v>45566</v>
      </c>
    </row>
    <row r="1752" spans="1:5" x14ac:dyDescent="0.25">
      <c r="A1752" t="s">
        <v>12</v>
      </c>
      <c r="B1752" t="s">
        <v>8</v>
      </c>
      <c r="C1752">
        <v>111.02</v>
      </c>
      <c r="D1752">
        <v>115.16369</v>
      </c>
      <c r="E1752" s="1">
        <v>45597</v>
      </c>
    </row>
    <row r="1753" spans="1:5" x14ac:dyDescent="0.25">
      <c r="A1753" t="s">
        <v>12</v>
      </c>
      <c r="B1753" t="s">
        <v>8</v>
      </c>
      <c r="C1753">
        <v>108.52</v>
      </c>
      <c r="D1753">
        <v>125.25423000000001</v>
      </c>
      <c r="E1753" s="1">
        <v>45627</v>
      </c>
    </row>
    <row r="1754" spans="1:5" x14ac:dyDescent="0.25">
      <c r="A1754" t="s">
        <v>12</v>
      </c>
      <c r="B1754" t="s">
        <v>8</v>
      </c>
      <c r="C1754">
        <v>113.85</v>
      </c>
      <c r="D1754">
        <v>110.69061000000001</v>
      </c>
      <c r="E1754" s="1">
        <v>45658</v>
      </c>
    </row>
    <row r="1755" spans="1:5" x14ac:dyDescent="0.25">
      <c r="A1755" t="s">
        <v>12</v>
      </c>
      <c r="B1755" t="s">
        <v>8</v>
      </c>
      <c r="C1755">
        <v>116.12</v>
      </c>
      <c r="D1755">
        <v>109.08428000000001</v>
      </c>
      <c r="E1755" s="1">
        <v>45689</v>
      </c>
    </row>
    <row r="1756" spans="1:5" x14ac:dyDescent="0.25">
      <c r="A1756" t="s">
        <v>12</v>
      </c>
      <c r="B1756" t="s">
        <v>8</v>
      </c>
      <c r="C1756">
        <v>115.88</v>
      </c>
      <c r="D1756">
        <v>113.40873999999999</v>
      </c>
      <c r="E1756" s="1">
        <v>45717</v>
      </c>
    </row>
    <row r="1757" spans="1:5" x14ac:dyDescent="0.25">
      <c r="A1757" t="s">
        <v>12</v>
      </c>
      <c r="B1757" t="s">
        <v>8</v>
      </c>
      <c r="C1757">
        <v>116.88</v>
      </c>
      <c r="D1757">
        <v>110.65246999999999</v>
      </c>
      <c r="E1757" s="1">
        <v>45748</v>
      </c>
    </row>
    <row r="1758" spans="1:5" x14ac:dyDescent="0.25">
      <c r="A1758" t="s">
        <v>12</v>
      </c>
      <c r="B1758" t="s">
        <v>8</v>
      </c>
      <c r="C1758">
        <v>118.37</v>
      </c>
      <c r="D1758">
        <v>114.12721000000001</v>
      </c>
      <c r="E1758" s="1">
        <v>45778</v>
      </c>
    </row>
    <row r="1759" spans="1:5" x14ac:dyDescent="0.25">
      <c r="A1759" t="s">
        <v>12</v>
      </c>
      <c r="B1759" t="s">
        <v>8</v>
      </c>
      <c r="C1759">
        <v>116.2</v>
      </c>
      <c r="D1759">
        <v>116.73813</v>
      </c>
      <c r="E1759" s="1">
        <v>45809</v>
      </c>
    </row>
    <row r="1760" spans="1:5" x14ac:dyDescent="0.25">
      <c r="A1760" t="s">
        <v>12</v>
      </c>
      <c r="B1760" t="s">
        <v>8</v>
      </c>
      <c r="C1760">
        <v>120.58</v>
      </c>
      <c r="D1760">
        <v>120.27647</v>
      </c>
      <c r="E1760" s="1">
        <v>45839</v>
      </c>
    </row>
    <row r="1761" spans="1:5" x14ac:dyDescent="0.25">
      <c r="A1761" t="s">
        <v>12</v>
      </c>
      <c r="B1761" t="s">
        <v>8</v>
      </c>
      <c r="C1761">
        <v>117.89</v>
      </c>
      <c r="D1761">
        <v>116.81923999999999</v>
      </c>
      <c r="E1761" s="1">
        <v>45870</v>
      </c>
    </row>
    <row r="1762" spans="1:5" x14ac:dyDescent="0.25">
      <c r="A1762" t="s">
        <v>12</v>
      </c>
      <c r="B1762" t="s">
        <v>7</v>
      </c>
      <c r="C1762">
        <v>104.62</v>
      </c>
      <c r="D1762">
        <v>109.92169</v>
      </c>
      <c r="E1762" s="1">
        <v>40544</v>
      </c>
    </row>
    <row r="1763" spans="1:5" x14ac:dyDescent="0.25">
      <c r="A1763" t="s">
        <v>12</v>
      </c>
      <c r="B1763" t="s">
        <v>7</v>
      </c>
      <c r="C1763">
        <v>108.36</v>
      </c>
      <c r="D1763">
        <v>100.34298</v>
      </c>
      <c r="E1763" s="1">
        <v>40575</v>
      </c>
    </row>
    <row r="1764" spans="1:5" x14ac:dyDescent="0.25">
      <c r="A1764" t="s">
        <v>12</v>
      </c>
      <c r="B1764" t="s">
        <v>7</v>
      </c>
      <c r="C1764">
        <v>110.97</v>
      </c>
      <c r="D1764">
        <v>109.09392</v>
      </c>
      <c r="E1764" s="1">
        <v>40603</v>
      </c>
    </row>
    <row r="1765" spans="1:5" x14ac:dyDescent="0.25">
      <c r="A1765" t="s">
        <v>12</v>
      </c>
      <c r="B1765" t="s">
        <v>7</v>
      </c>
      <c r="C1765">
        <v>114.11</v>
      </c>
      <c r="D1765">
        <v>113.59986000000001</v>
      </c>
      <c r="E1765" s="1">
        <v>40634</v>
      </c>
    </row>
    <row r="1766" spans="1:5" x14ac:dyDescent="0.25">
      <c r="A1766" t="s">
        <v>12</v>
      </c>
      <c r="B1766" t="s">
        <v>7</v>
      </c>
      <c r="C1766">
        <v>111.37</v>
      </c>
      <c r="D1766">
        <v>105.73511999999999</v>
      </c>
      <c r="E1766" s="1">
        <v>40664</v>
      </c>
    </row>
    <row r="1767" spans="1:5" x14ac:dyDescent="0.25">
      <c r="A1767" t="s">
        <v>12</v>
      </c>
      <c r="B1767" t="s">
        <v>7</v>
      </c>
      <c r="C1767">
        <v>115.88</v>
      </c>
      <c r="D1767">
        <v>107.33459000000001</v>
      </c>
      <c r="E1767" s="1">
        <v>40695</v>
      </c>
    </row>
    <row r="1768" spans="1:5" x14ac:dyDescent="0.25">
      <c r="A1768" t="s">
        <v>12</v>
      </c>
      <c r="B1768" t="s">
        <v>7</v>
      </c>
      <c r="C1768">
        <v>115.87</v>
      </c>
      <c r="D1768">
        <v>112.25189</v>
      </c>
      <c r="E1768" s="1">
        <v>40725</v>
      </c>
    </row>
    <row r="1769" spans="1:5" x14ac:dyDescent="0.25">
      <c r="A1769" t="s">
        <v>12</v>
      </c>
      <c r="B1769" t="s">
        <v>7</v>
      </c>
      <c r="C1769">
        <v>111.38</v>
      </c>
      <c r="D1769">
        <v>111.43917</v>
      </c>
      <c r="E1769" s="1">
        <v>40756</v>
      </c>
    </row>
    <row r="1770" spans="1:5" x14ac:dyDescent="0.25">
      <c r="A1770" t="s">
        <v>12</v>
      </c>
      <c r="B1770" t="s">
        <v>7</v>
      </c>
      <c r="C1770">
        <v>110.78</v>
      </c>
      <c r="D1770">
        <v>107.85723</v>
      </c>
      <c r="E1770" s="1">
        <v>40787</v>
      </c>
    </row>
    <row r="1771" spans="1:5" x14ac:dyDescent="0.25">
      <c r="A1771" t="s">
        <v>12</v>
      </c>
      <c r="B1771" t="s">
        <v>7</v>
      </c>
      <c r="C1771">
        <v>113.54</v>
      </c>
      <c r="D1771">
        <v>116.79069</v>
      </c>
      <c r="E1771" s="1">
        <v>40817</v>
      </c>
    </row>
    <row r="1772" spans="1:5" x14ac:dyDescent="0.25">
      <c r="A1772" t="s">
        <v>12</v>
      </c>
      <c r="B1772" t="s">
        <v>7</v>
      </c>
      <c r="C1772">
        <v>117.3</v>
      </c>
      <c r="D1772">
        <v>121.44613</v>
      </c>
      <c r="E1772" s="1">
        <v>40848</v>
      </c>
    </row>
    <row r="1773" spans="1:5" x14ac:dyDescent="0.25">
      <c r="A1773" t="s">
        <v>12</v>
      </c>
      <c r="B1773" t="s">
        <v>7</v>
      </c>
      <c r="C1773">
        <v>108.96</v>
      </c>
      <c r="D1773">
        <v>127.57253</v>
      </c>
      <c r="E1773" s="1">
        <v>40878</v>
      </c>
    </row>
    <row r="1774" spans="1:5" x14ac:dyDescent="0.25">
      <c r="A1774" t="s">
        <v>12</v>
      </c>
      <c r="B1774" t="s">
        <v>7</v>
      </c>
      <c r="C1774">
        <v>111.88</v>
      </c>
      <c r="D1774">
        <v>115.98556000000001</v>
      </c>
      <c r="E1774" s="1">
        <v>40909</v>
      </c>
    </row>
    <row r="1775" spans="1:5" x14ac:dyDescent="0.25">
      <c r="A1775" t="s">
        <v>12</v>
      </c>
      <c r="B1775" t="s">
        <v>7</v>
      </c>
      <c r="C1775">
        <v>109.63</v>
      </c>
      <c r="D1775">
        <v>102.67019999999999</v>
      </c>
      <c r="E1775" s="1">
        <v>40940</v>
      </c>
    </row>
    <row r="1776" spans="1:5" x14ac:dyDescent="0.25">
      <c r="A1776" t="s">
        <v>12</v>
      </c>
      <c r="B1776" t="s">
        <v>7</v>
      </c>
      <c r="C1776">
        <v>108.6</v>
      </c>
      <c r="D1776">
        <v>111.1194</v>
      </c>
      <c r="E1776" s="1">
        <v>40969</v>
      </c>
    </row>
    <row r="1777" spans="1:5" x14ac:dyDescent="0.25">
      <c r="A1777" t="s">
        <v>12</v>
      </c>
      <c r="B1777" t="s">
        <v>7</v>
      </c>
      <c r="C1777">
        <v>107.44</v>
      </c>
      <c r="D1777">
        <v>103.57388</v>
      </c>
      <c r="E1777" s="1">
        <v>41000</v>
      </c>
    </row>
    <row r="1778" spans="1:5" x14ac:dyDescent="0.25">
      <c r="A1778" t="s">
        <v>12</v>
      </c>
      <c r="B1778" t="s">
        <v>7</v>
      </c>
      <c r="C1778">
        <v>112.16</v>
      </c>
      <c r="D1778">
        <v>106.68899</v>
      </c>
      <c r="E1778" s="1">
        <v>41030</v>
      </c>
    </row>
    <row r="1779" spans="1:5" x14ac:dyDescent="0.25">
      <c r="A1779" t="s">
        <v>12</v>
      </c>
      <c r="B1779" t="s">
        <v>7</v>
      </c>
      <c r="C1779">
        <v>108.92</v>
      </c>
      <c r="D1779">
        <v>103.304</v>
      </c>
      <c r="E1779" s="1">
        <v>41061</v>
      </c>
    </row>
    <row r="1780" spans="1:5" x14ac:dyDescent="0.25">
      <c r="A1780" t="s">
        <v>12</v>
      </c>
      <c r="B1780" t="s">
        <v>7</v>
      </c>
      <c r="C1780">
        <v>108.78</v>
      </c>
      <c r="D1780">
        <v>102.86005</v>
      </c>
      <c r="E1780" s="1">
        <v>41091</v>
      </c>
    </row>
    <row r="1781" spans="1:5" x14ac:dyDescent="0.25">
      <c r="A1781" t="s">
        <v>12</v>
      </c>
      <c r="B1781" t="s">
        <v>7</v>
      </c>
      <c r="C1781">
        <v>114.8</v>
      </c>
      <c r="D1781">
        <v>114.95511</v>
      </c>
      <c r="E1781" s="1">
        <v>41122</v>
      </c>
    </row>
    <row r="1782" spans="1:5" x14ac:dyDescent="0.25">
      <c r="A1782" t="s">
        <v>12</v>
      </c>
      <c r="B1782" t="s">
        <v>7</v>
      </c>
      <c r="C1782">
        <v>116.16</v>
      </c>
      <c r="D1782">
        <v>112.56274000000001</v>
      </c>
      <c r="E1782" s="1">
        <v>41153</v>
      </c>
    </row>
    <row r="1783" spans="1:5" x14ac:dyDescent="0.25">
      <c r="A1783" t="s">
        <v>12</v>
      </c>
      <c r="B1783" t="s">
        <v>7</v>
      </c>
      <c r="C1783">
        <v>110.69</v>
      </c>
      <c r="D1783">
        <v>113.69004</v>
      </c>
      <c r="E1783" s="1">
        <v>41183</v>
      </c>
    </row>
    <row r="1784" spans="1:5" x14ac:dyDescent="0.25">
      <c r="A1784" t="s">
        <v>12</v>
      </c>
      <c r="B1784" t="s">
        <v>7</v>
      </c>
      <c r="C1784">
        <v>114.23</v>
      </c>
      <c r="D1784">
        <v>118.53708</v>
      </c>
      <c r="E1784" s="1">
        <v>41214</v>
      </c>
    </row>
    <row r="1785" spans="1:5" x14ac:dyDescent="0.25">
      <c r="A1785" t="s">
        <v>12</v>
      </c>
      <c r="B1785" t="s">
        <v>7</v>
      </c>
      <c r="C1785">
        <v>111.68</v>
      </c>
      <c r="D1785">
        <v>129.12594999999999</v>
      </c>
      <c r="E1785" s="1">
        <v>41244</v>
      </c>
    </row>
    <row r="1786" spans="1:5" x14ac:dyDescent="0.25">
      <c r="A1786" t="s">
        <v>12</v>
      </c>
      <c r="B1786" t="s">
        <v>7</v>
      </c>
      <c r="C1786">
        <v>110.3</v>
      </c>
      <c r="D1786">
        <v>115.41646</v>
      </c>
      <c r="E1786" s="1">
        <v>41275</v>
      </c>
    </row>
    <row r="1787" spans="1:5" x14ac:dyDescent="0.25">
      <c r="A1787" t="s">
        <v>12</v>
      </c>
      <c r="B1787" t="s">
        <v>7</v>
      </c>
      <c r="C1787">
        <v>109.86</v>
      </c>
      <c r="D1787">
        <v>101.38957000000001</v>
      </c>
      <c r="E1787" s="1">
        <v>41306</v>
      </c>
    </row>
    <row r="1788" spans="1:5" x14ac:dyDescent="0.25">
      <c r="A1788" t="s">
        <v>12</v>
      </c>
      <c r="B1788" t="s">
        <v>7</v>
      </c>
      <c r="C1788">
        <v>113.01</v>
      </c>
      <c r="D1788">
        <v>114.90721000000001</v>
      </c>
      <c r="E1788" s="1">
        <v>41334</v>
      </c>
    </row>
    <row r="1789" spans="1:5" x14ac:dyDescent="0.25">
      <c r="A1789" t="s">
        <v>12</v>
      </c>
      <c r="B1789" t="s">
        <v>7</v>
      </c>
      <c r="C1789">
        <v>114.81</v>
      </c>
      <c r="D1789">
        <v>111.74124999999999</v>
      </c>
      <c r="E1789" s="1">
        <v>41365</v>
      </c>
    </row>
    <row r="1790" spans="1:5" x14ac:dyDescent="0.25">
      <c r="A1790" t="s">
        <v>12</v>
      </c>
      <c r="B1790" t="s">
        <v>7</v>
      </c>
      <c r="C1790">
        <v>115.42</v>
      </c>
      <c r="D1790">
        <v>110.42852000000001</v>
      </c>
      <c r="E1790" s="1">
        <v>41395</v>
      </c>
    </row>
    <row r="1791" spans="1:5" x14ac:dyDescent="0.25">
      <c r="A1791" t="s">
        <v>12</v>
      </c>
      <c r="B1791" t="s">
        <v>7</v>
      </c>
      <c r="C1791">
        <v>116</v>
      </c>
      <c r="D1791">
        <v>108.24182</v>
      </c>
      <c r="E1791" s="1">
        <v>41426</v>
      </c>
    </row>
    <row r="1792" spans="1:5" x14ac:dyDescent="0.25">
      <c r="A1792" t="s">
        <v>12</v>
      </c>
      <c r="B1792" t="s">
        <v>7</v>
      </c>
      <c r="C1792">
        <v>117.62</v>
      </c>
      <c r="D1792">
        <v>112.74539</v>
      </c>
      <c r="E1792" s="1">
        <v>41456</v>
      </c>
    </row>
    <row r="1793" spans="1:5" x14ac:dyDescent="0.25">
      <c r="A1793" t="s">
        <v>12</v>
      </c>
      <c r="B1793" t="s">
        <v>7</v>
      </c>
      <c r="C1793">
        <v>113.07</v>
      </c>
      <c r="D1793">
        <v>114.58732000000001</v>
      </c>
      <c r="E1793" s="1">
        <v>41487</v>
      </c>
    </row>
    <row r="1794" spans="1:5" x14ac:dyDescent="0.25">
      <c r="A1794" t="s">
        <v>12</v>
      </c>
      <c r="B1794" t="s">
        <v>7</v>
      </c>
      <c r="C1794">
        <v>115.05</v>
      </c>
      <c r="D1794">
        <v>110.27936</v>
      </c>
      <c r="E1794" s="1">
        <v>41518</v>
      </c>
    </row>
    <row r="1795" spans="1:5" x14ac:dyDescent="0.25">
      <c r="A1795" t="s">
        <v>12</v>
      </c>
      <c r="B1795" t="s">
        <v>7</v>
      </c>
      <c r="C1795">
        <v>113.83</v>
      </c>
      <c r="D1795">
        <v>116.21944000000001</v>
      </c>
      <c r="E1795" s="1">
        <v>41548</v>
      </c>
    </row>
    <row r="1796" spans="1:5" x14ac:dyDescent="0.25">
      <c r="A1796" t="s">
        <v>12</v>
      </c>
      <c r="B1796" t="s">
        <v>7</v>
      </c>
      <c r="C1796">
        <v>116.07</v>
      </c>
      <c r="D1796">
        <v>121.62504</v>
      </c>
      <c r="E1796" s="1">
        <v>41579</v>
      </c>
    </row>
    <row r="1797" spans="1:5" x14ac:dyDescent="0.25">
      <c r="A1797" t="s">
        <v>12</v>
      </c>
      <c r="B1797" t="s">
        <v>7</v>
      </c>
      <c r="C1797">
        <v>114.09</v>
      </c>
      <c r="D1797">
        <v>130.17196000000001</v>
      </c>
      <c r="E1797" s="1">
        <v>41609</v>
      </c>
    </row>
    <row r="1798" spans="1:5" x14ac:dyDescent="0.25">
      <c r="A1798" t="s">
        <v>12</v>
      </c>
      <c r="B1798" t="s">
        <v>7</v>
      </c>
      <c r="C1798">
        <v>120.81</v>
      </c>
      <c r="D1798">
        <v>127.18552</v>
      </c>
      <c r="E1798" s="1">
        <v>41640</v>
      </c>
    </row>
    <row r="1799" spans="1:5" x14ac:dyDescent="0.25">
      <c r="A1799" t="s">
        <v>12</v>
      </c>
      <c r="B1799" t="s">
        <v>7</v>
      </c>
      <c r="C1799">
        <v>114.54</v>
      </c>
      <c r="D1799">
        <v>107.95386000000001</v>
      </c>
      <c r="E1799" s="1">
        <v>41671</v>
      </c>
    </row>
    <row r="1800" spans="1:5" x14ac:dyDescent="0.25">
      <c r="A1800" t="s">
        <v>12</v>
      </c>
      <c r="B1800" t="s">
        <v>7</v>
      </c>
      <c r="C1800">
        <v>113.22</v>
      </c>
      <c r="D1800">
        <v>113.15133</v>
      </c>
      <c r="E1800" s="1">
        <v>41699</v>
      </c>
    </row>
    <row r="1801" spans="1:5" x14ac:dyDescent="0.25">
      <c r="A1801" t="s">
        <v>12</v>
      </c>
      <c r="B1801" t="s">
        <v>7</v>
      </c>
      <c r="C1801">
        <v>112.02</v>
      </c>
      <c r="D1801">
        <v>108.42013</v>
      </c>
      <c r="E1801" s="1">
        <v>41730</v>
      </c>
    </row>
    <row r="1802" spans="1:5" x14ac:dyDescent="0.25">
      <c r="A1802" t="s">
        <v>12</v>
      </c>
      <c r="B1802" t="s">
        <v>7</v>
      </c>
      <c r="C1802">
        <v>111.27</v>
      </c>
      <c r="D1802">
        <v>107.77912999999999</v>
      </c>
      <c r="E1802" s="1">
        <v>41760</v>
      </c>
    </row>
    <row r="1803" spans="1:5" x14ac:dyDescent="0.25">
      <c r="A1803" t="s">
        <v>12</v>
      </c>
      <c r="B1803" t="s">
        <v>7</v>
      </c>
      <c r="C1803">
        <v>107.02</v>
      </c>
      <c r="D1803">
        <v>98.514269999999996</v>
      </c>
      <c r="E1803" s="1">
        <v>41791</v>
      </c>
    </row>
    <row r="1804" spans="1:5" x14ac:dyDescent="0.25">
      <c r="A1804" t="s">
        <v>12</v>
      </c>
      <c r="B1804" t="s">
        <v>7</v>
      </c>
      <c r="C1804">
        <v>105.87</v>
      </c>
      <c r="D1804">
        <v>100.58991</v>
      </c>
      <c r="E1804" s="1">
        <v>41821</v>
      </c>
    </row>
    <row r="1805" spans="1:5" x14ac:dyDescent="0.25">
      <c r="A1805" t="s">
        <v>12</v>
      </c>
      <c r="B1805" t="s">
        <v>7</v>
      </c>
      <c r="C1805">
        <v>112.85</v>
      </c>
      <c r="D1805">
        <v>112.63137999999999</v>
      </c>
      <c r="E1805" s="1">
        <v>41852</v>
      </c>
    </row>
    <row r="1806" spans="1:5" x14ac:dyDescent="0.25">
      <c r="A1806" t="s">
        <v>12</v>
      </c>
      <c r="B1806" t="s">
        <v>7</v>
      </c>
      <c r="C1806">
        <v>109.39</v>
      </c>
      <c r="D1806">
        <v>105.87933</v>
      </c>
      <c r="E1806" s="1">
        <v>41883</v>
      </c>
    </row>
    <row r="1807" spans="1:5" x14ac:dyDescent="0.25">
      <c r="A1807" t="s">
        <v>12</v>
      </c>
      <c r="B1807" t="s">
        <v>7</v>
      </c>
      <c r="C1807">
        <v>111.18</v>
      </c>
      <c r="D1807">
        <v>115.03673000000001</v>
      </c>
      <c r="E1807" s="1">
        <v>41913</v>
      </c>
    </row>
    <row r="1808" spans="1:5" x14ac:dyDescent="0.25">
      <c r="A1808" t="s">
        <v>12</v>
      </c>
      <c r="B1808" t="s">
        <v>7</v>
      </c>
      <c r="C1808">
        <v>108.76</v>
      </c>
      <c r="D1808">
        <v>111.57043</v>
      </c>
      <c r="E1808" s="1">
        <v>41944</v>
      </c>
    </row>
    <row r="1809" spans="1:5" x14ac:dyDescent="0.25">
      <c r="A1809" t="s">
        <v>12</v>
      </c>
      <c r="B1809" t="s">
        <v>7</v>
      </c>
      <c r="C1809">
        <v>115.43</v>
      </c>
      <c r="D1809">
        <v>132.37721999999999</v>
      </c>
      <c r="E1809" s="1">
        <v>41974</v>
      </c>
    </row>
    <row r="1810" spans="1:5" x14ac:dyDescent="0.25">
      <c r="A1810" t="s">
        <v>12</v>
      </c>
      <c r="B1810" t="s">
        <v>7</v>
      </c>
      <c r="C1810">
        <v>116.97</v>
      </c>
      <c r="D1810">
        <v>124.73737</v>
      </c>
      <c r="E1810" s="1">
        <v>42005</v>
      </c>
    </row>
    <row r="1811" spans="1:5" x14ac:dyDescent="0.25">
      <c r="A1811" t="s">
        <v>12</v>
      </c>
      <c r="B1811" t="s">
        <v>7</v>
      </c>
      <c r="C1811">
        <v>115.04</v>
      </c>
      <c r="D1811">
        <v>107.2025</v>
      </c>
      <c r="E1811" s="1">
        <v>42036</v>
      </c>
    </row>
    <row r="1812" spans="1:5" x14ac:dyDescent="0.25">
      <c r="A1812" t="s">
        <v>12</v>
      </c>
      <c r="B1812" t="s">
        <v>7</v>
      </c>
      <c r="C1812">
        <v>111.67</v>
      </c>
      <c r="D1812">
        <v>111.30195999999999</v>
      </c>
      <c r="E1812" s="1">
        <v>42064</v>
      </c>
    </row>
    <row r="1813" spans="1:5" x14ac:dyDescent="0.25">
      <c r="A1813" t="s">
        <v>12</v>
      </c>
      <c r="B1813" t="s">
        <v>7</v>
      </c>
      <c r="C1813">
        <v>108.15</v>
      </c>
      <c r="D1813">
        <v>104.39173</v>
      </c>
      <c r="E1813" s="1">
        <v>42095</v>
      </c>
    </row>
    <row r="1814" spans="1:5" x14ac:dyDescent="0.25">
      <c r="A1814" t="s">
        <v>12</v>
      </c>
      <c r="B1814" t="s">
        <v>7</v>
      </c>
      <c r="C1814">
        <v>104.3</v>
      </c>
      <c r="D1814">
        <v>99.997470000000007</v>
      </c>
      <c r="E1814" s="1">
        <v>42125</v>
      </c>
    </row>
    <row r="1815" spans="1:5" x14ac:dyDescent="0.25">
      <c r="A1815" t="s">
        <v>12</v>
      </c>
      <c r="B1815" t="s">
        <v>7</v>
      </c>
      <c r="C1815">
        <v>109.51</v>
      </c>
      <c r="D1815">
        <v>102.54116</v>
      </c>
      <c r="E1815" s="1">
        <v>42156</v>
      </c>
    </row>
    <row r="1816" spans="1:5" x14ac:dyDescent="0.25">
      <c r="A1816" t="s">
        <v>12</v>
      </c>
      <c r="B1816" t="s">
        <v>7</v>
      </c>
      <c r="C1816">
        <v>102.28</v>
      </c>
      <c r="D1816">
        <v>98.994010000000003</v>
      </c>
      <c r="E1816" s="1">
        <v>42186</v>
      </c>
    </row>
    <row r="1817" spans="1:5" x14ac:dyDescent="0.25">
      <c r="A1817" t="s">
        <v>12</v>
      </c>
      <c r="B1817" t="s">
        <v>7</v>
      </c>
      <c r="C1817">
        <v>105.91</v>
      </c>
      <c r="D1817">
        <v>104.69969</v>
      </c>
      <c r="E1817" s="1">
        <v>42217</v>
      </c>
    </row>
    <row r="1818" spans="1:5" x14ac:dyDescent="0.25">
      <c r="A1818" t="s">
        <v>12</v>
      </c>
      <c r="B1818" t="s">
        <v>7</v>
      </c>
      <c r="C1818">
        <v>103.1</v>
      </c>
      <c r="D1818">
        <v>99.45993</v>
      </c>
      <c r="E1818" s="1">
        <v>42248</v>
      </c>
    </row>
    <row r="1819" spans="1:5" x14ac:dyDescent="0.25">
      <c r="A1819" t="s">
        <v>12</v>
      </c>
      <c r="B1819" t="s">
        <v>7</v>
      </c>
      <c r="C1819">
        <v>105.39</v>
      </c>
      <c r="D1819">
        <v>111.35656</v>
      </c>
      <c r="E1819" s="1">
        <v>42278</v>
      </c>
    </row>
    <row r="1820" spans="1:5" x14ac:dyDescent="0.25">
      <c r="A1820" t="s">
        <v>12</v>
      </c>
      <c r="B1820" t="s">
        <v>7</v>
      </c>
      <c r="C1820">
        <v>104.4</v>
      </c>
      <c r="D1820">
        <v>105.73394999999999</v>
      </c>
      <c r="E1820" s="1">
        <v>42309</v>
      </c>
    </row>
    <row r="1821" spans="1:5" x14ac:dyDescent="0.25">
      <c r="A1821" t="s">
        <v>12</v>
      </c>
      <c r="B1821" t="s">
        <v>7</v>
      </c>
      <c r="C1821">
        <v>108.94</v>
      </c>
      <c r="D1821">
        <v>123.97611000000001</v>
      </c>
      <c r="E1821" s="1">
        <v>42339</v>
      </c>
    </row>
    <row r="1822" spans="1:5" x14ac:dyDescent="0.25">
      <c r="A1822" t="s">
        <v>12</v>
      </c>
      <c r="B1822" t="s">
        <v>7</v>
      </c>
      <c r="C1822">
        <v>114.43</v>
      </c>
      <c r="D1822">
        <v>120.42474</v>
      </c>
      <c r="E1822" s="1">
        <v>42370</v>
      </c>
    </row>
    <row r="1823" spans="1:5" x14ac:dyDescent="0.25">
      <c r="A1823" t="s">
        <v>12</v>
      </c>
      <c r="B1823" t="s">
        <v>7</v>
      </c>
      <c r="C1823">
        <v>110.09</v>
      </c>
      <c r="D1823">
        <v>104.49481</v>
      </c>
      <c r="E1823" s="1">
        <v>42401</v>
      </c>
    </row>
    <row r="1824" spans="1:5" x14ac:dyDescent="0.25">
      <c r="A1824" t="s">
        <v>12</v>
      </c>
      <c r="B1824" t="s">
        <v>7</v>
      </c>
      <c r="C1824">
        <v>106.97</v>
      </c>
      <c r="D1824">
        <v>107.06858</v>
      </c>
      <c r="E1824" s="1">
        <v>42430</v>
      </c>
    </row>
    <row r="1825" spans="1:5" x14ac:dyDescent="0.25">
      <c r="A1825" t="s">
        <v>12</v>
      </c>
      <c r="B1825" t="s">
        <v>7</v>
      </c>
      <c r="C1825">
        <v>105.56</v>
      </c>
      <c r="D1825">
        <v>104.81456</v>
      </c>
      <c r="E1825" s="1">
        <v>42461</v>
      </c>
    </row>
    <row r="1826" spans="1:5" x14ac:dyDescent="0.25">
      <c r="A1826" t="s">
        <v>12</v>
      </c>
      <c r="B1826" t="s">
        <v>7</v>
      </c>
      <c r="C1826">
        <v>100.84</v>
      </c>
      <c r="D1826">
        <v>94.381169999999997</v>
      </c>
      <c r="E1826" s="1">
        <v>42491</v>
      </c>
    </row>
    <row r="1827" spans="1:5" x14ac:dyDescent="0.25">
      <c r="A1827" t="s">
        <v>12</v>
      </c>
      <c r="B1827" t="s">
        <v>7</v>
      </c>
      <c r="C1827">
        <v>100.19</v>
      </c>
      <c r="D1827">
        <v>93.890739999999994</v>
      </c>
      <c r="E1827" s="1">
        <v>42522</v>
      </c>
    </row>
    <row r="1828" spans="1:5" x14ac:dyDescent="0.25">
      <c r="A1828" t="s">
        <v>12</v>
      </c>
      <c r="B1828" t="s">
        <v>7</v>
      </c>
      <c r="C1828">
        <v>101.93</v>
      </c>
      <c r="D1828">
        <v>100.78815</v>
      </c>
      <c r="E1828" s="1">
        <v>42552</v>
      </c>
    </row>
    <row r="1829" spans="1:5" x14ac:dyDescent="0.25">
      <c r="A1829" t="s">
        <v>12</v>
      </c>
      <c r="B1829" t="s">
        <v>7</v>
      </c>
      <c r="C1829">
        <v>98.32</v>
      </c>
      <c r="D1829">
        <v>96.024780000000007</v>
      </c>
      <c r="E1829" s="1">
        <v>42583</v>
      </c>
    </row>
    <row r="1830" spans="1:5" x14ac:dyDescent="0.25">
      <c r="A1830" t="s">
        <v>12</v>
      </c>
      <c r="B1830" t="s">
        <v>7</v>
      </c>
      <c r="C1830">
        <v>98.84</v>
      </c>
      <c r="D1830">
        <v>96.57723</v>
      </c>
      <c r="E1830" s="1">
        <v>42614</v>
      </c>
    </row>
    <row r="1831" spans="1:5" x14ac:dyDescent="0.25">
      <c r="A1831" t="s">
        <v>12</v>
      </c>
      <c r="B1831" t="s">
        <v>7</v>
      </c>
      <c r="C1831">
        <v>101.94</v>
      </c>
      <c r="D1831">
        <v>107.1613</v>
      </c>
      <c r="E1831" s="1">
        <v>42644</v>
      </c>
    </row>
    <row r="1832" spans="1:5" x14ac:dyDescent="0.25">
      <c r="A1832" t="s">
        <v>12</v>
      </c>
      <c r="B1832" t="s">
        <v>7</v>
      </c>
      <c r="C1832">
        <v>100.98</v>
      </c>
      <c r="D1832">
        <v>102.68225</v>
      </c>
      <c r="E1832" s="1">
        <v>42675</v>
      </c>
    </row>
    <row r="1833" spans="1:5" x14ac:dyDescent="0.25">
      <c r="A1833" t="s">
        <v>12</v>
      </c>
      <c r="B1833" t="s">
        <v>7</v>
      </c>
      <c r="C1833">
        <v>110.81</v>
      </c>
      <c r="D1833">
        <v>126.64639</v>
      </c>
      <c r="E1833" s="1">
        <v>42705</v>
      </c>
    </row>
    <row r="1834" spans="1:5" x14ac:dyDescent="0.25">
      <c r="A1834" t="s">
        <v>12</v>
      </c>
      <c r="B1834" t="s">
        <v>7</v>
      </c>
      <c r="C1834">
        <v>98.25</v>
      </c>
      <c r="D1834">
        <v>101.08761</v>
      </c>
      <c r="E1834" s="1">
        <v>42736</v>
      </c>
    </row>
    <row r="1835" spans="1:5" x14ac:dyDescent="0.25">
      <c r="A1835" t="s">
        <v>12</v>
      </c>
      <c r="B1835" t="s">
        <v>7</v>
      </c>
      <c r="C1835">
        <v>98.48</v>
      </c>
      <c r="D1835">
        <v>88.897639999999996</v>
      </c>
      <c r="E1835" s="1">
        <v>42767</v>
      </c>
    </row>
    <row r="1836" spans="1:5" x14ac:dyDescent="0.25">
      <c r="A1836" t="s">
        <v>12</v>
      </c>
      <c r="B1836" t="s">
        <v>7</v>
      </c>
      <c r="C1836">
        <v>96.86</v>
      </c>
      <c r="D1836">
        <v>97.677419999999998</v>
      </c>
      <c r="E1836" s="1">
        <v>42795</v>
      </c>
    </row>
    <row r="1837" spans="1:5" x14ac:dyDescent="0.25">
      <c r="A1837" t="s">
        <v>12</v>
      </c>
      <c r="B1837" t="s">
        <v>7</v>
      </c>
      <c r="C1837">
        <v>98.8</v>
      </c>
      <c r="D1837">
        <v>96.546149999999997</v>
      </c>
      <c r="E1837" s="1">
        <v>42826</v>
      </c>
    </row>
    <row r="1838" spans="1:5" x14ac:dyDescent="0.25">
      <c r="A1838" t="s">
        <v>12</v>
      </c>
      <c r="B1838" t="s">
        <v>7</v>
      </c>
      <c r="C1838">
        <v>103.78</v>
      </c>
      <c r="D1838">
        <v>100.221</v>
      </c>
      <c r="E1838" s="1">
        <v>42856</v>
      </c>
    </row>
    <row r="1839" spans="1:5" x14ac:dyDescent="0.25">
      <c r="A1839" t="s">
        <v>12</v>
      </c>
      <c r="B1839" t="s">
        <v>7</v>
      </c>
      <c r="C1839">
        <v>107.4</v>
      </c>
      <c r="D1839">
        <v>102.02325999999999</v>
      </c>
      <c r="E1839" s="1">
        <v>42887</v>
      </c>
    </row>
    <row r="1840" spans="1:5" x14ac:dyDescent="0.25">
      <c r="A1840" t="s">
        <v>12</v>
      </c>
      <c r="B1840" t="s">
        <v>7</v>
      </c>
      <c r="C1840">
        <v>103.59</v>
      </c>
      <c r="D1840">
        <v>103.49514000000001</v>
      </c>
      <c r="E1840" s="1">
        <v>42917</v>
      </c>
    </row>
    <row r="1841" spans="1:5" x14ac:dyDescent="0.25">
      <c r="A1841" t="s">
        <v>12</v>
      </c>
      <c r="B1841" t="s">
        <v>7</v>
      </c>
      <c r="C1841">
        <v>99.85</v>
      </c>
      <c r="D1841">
        <v>96.256129999999999</v>
      </c>
      <c r="E1841" s="1">
        <v>42948</v>
      </c>
    </row>
    <row r="1842" spans="1:5" x14ac:dyDescent="0.25">
      <c r="A1842" t="s">
        <v>12</v>
      </c>
      <c r="B1842" t="s">
        <v>7</v>
      </c>
      <c r="C1842">
        <v>102.78</v>
      </c>
      <c r="D1842">
        <v>103.3442</v>
      </c>
      <c r="E1842" s="1">
        <v>42979</v>
      </c>
    </row>
    <row r="1843" spans="1:5" x14ac:dyDescent="0.25">
      <c r="A1843" t="s">
        <v>12</v>
      </c>
      <c r="B1843" t="s">
        <v>7</v>
      </c>
      <c r="C1843">
        <v>99.25</v>
      </c>
      <c r="D1843">
        <v>103.23519</v>
      </c>
      <c r="E1843" s="1">
        <v>43009</v>
      </c>
    </row>
    <row r="1844" spans="1:5" x14ac:dyDescent="0.25">
      <c r="A1844" t="s">
        <v>12</v>
      </c>
      <c r="B1844" t="s">
        <v>7</v>
      </c>
      <c r="C1844">
        <v>100.36</v>
      </c>
      <c r="D1844">
        <v>102.03701</v>
      </c>
      <c r="E1844" s="1">
        <v>43040</v>
      </c>
    </row>
    <row r="1845" spans="1:5" x14ac:dyDescent="0.25">
      <c r="A1845" t="s">
        <v>12</v>
      </c>
      <c r="B1845" t="s">
        <v>7</v>
      </c>
      <c r="C1845">
        <v>96.53</v>
      </c>
      <c r="D1845">
        <v>109.57808</v>
      </c>
      <c r="E1845" s="1">
        <v>43070</v>
      </c>
    </row>
    <row r="1846" spans="1:5" x14ac:dyDescent="0.25">
      <c r="A1846" t="s">
        <v>12</v>
      </c>
      <c r="B1846" t="s">
        <v>7</v>
      </c>
      <c r="C1846">
        <v>92.42</v>
      </c>
      <c r="D1846">
        <v>95.096590000000006</v>
      </c>
      <c r="E1846" s="1">
        <v>43101</v>
      </c>
    </row>
    <row r="1847" spans="1:5" x14ac:dyDescent="0.25">
      <c r="A1847" t="s">
        <v>12</v>
      </c>
      <c r="B1847" t="s">
        <v>7</v>
      </c>
      <c r="C1847">
        <v>95.59</v>
      </c>
      <c r="D1847">
        <v>84.768339999999995</v>
      </c>
      <c r="E1847" s="1">
        <v>43132</v>
      </c>
    </row>
    <row r="1848" spans="1:5" x14ac:dyDescent="0.25">
      <c r="A1848" t="s">
        <v>12</v>
      </c>
      <c r="B1848" t="s">
        <v>7</v>
      </c>
      <c r="C1848">
        <v>102.46</v>
      </c>
      <c r="D1848">
        <v>104.63634999999999</v>
      </c>
      <c r="E1848" s="1">
        <v>43160</v>
      </c>
    </row>
    <row r="1849" spans="1:5" x14ac:dyDescent="0.25">
      <c r="A1849" t="s">
        <v>12</v>
      </c>
      <c r="B1849" t="s">
        <v>7</v>
      </c>
      <c r="C1849">
        <v>103.67</v>
      </c>
      <c r="D1849">
        <v>100.36566999999999</v>
      </c>
      <c r="E1849" s="1">
        <v>43191</v>
      </c>
    </row>
    <row r="1850" spans="1:5" x14ac:dyDescent="0.25">
      <c r="A1850" t="s">
        <v>12</v>
      </c>
      <c r="B1850" t="s">
        <v>7</v>
      </c>
      <c r="C1850">
        <v>99.56</v>
      </c>
      <c r="D1850">
        <v>96.490279999999998</v>
      </c>
      <c r="E1850" s="1">
        <v>43221</v>
      </c>
    </row>
    <row r="1851" spans="1:5" x14ac:dyDescent="0.25">
      <c r="A1851" t="s">
        <v>12</v>
      </c>
      <c r="B1851" t="s">
        <v>7</v>
      </c>
      <c r="C1851">
        <v>102.2</v>
      </c>
      <c r="D1851">
        <v>99.597560000000001</v>
      </c>
      <c r="E1851" s="1">
        <v>43252</v>
      </c>
    </row>
    <row r="1852" spans="1:5" x14ac:dyDescent="0.25">
      <c r="A1852" t="s">
        <v>12</v>
      </c>
      <c r="B1852" t="s">
        <v>7</v>
      </c>
      <c r="C1852">
        <v>106.06</v>
      </c>
      <c r="D1852">
        <v>105.58719000000001</v>
      </c>
      <c r="E1852" s="1">
        <v>43282</v>
      </c>
    </row>
    <row r="1853" spans="1:5" x14ac:dyDescent="0.25">
      <c r="A1853" t="s">
        <v>12</v>
      </c>
      <c r="B1853" t="s">
        <v>7</v>
      </c>
      <c r="C1853">
        <v>105.81</v>
      </c>
      <c r="D1853">
        <v>102.97154</v>
      </c>
      <c r="E1853" s="1">
        <v>43313</v>
      </c>
    </row>
    <row r="1854" spans="1:5" x14ac:dyDescent="0.25">
      <c r="A1854" t="s">
        <v>12</v>
      </c>
      <c r="B1854" t="s">
        <v>7</v>
      </c>
      <c r="C1854">
        <v>105.71</v>
      </c>
      <c r="D1854">
        <v>104.75951000000001</v>
      </c>
      <c r="E1854" s="1">
        <v>43344</v>
      </c>
    </row>
    <row r="1855" spans="1:5" x14ac:dyDescent="0.25">
      <c r="A1855" t="s">
        <v>12</v>
      </c>
      <c r="B1855" t="s">
        <v>7</v>
      </c>
      <c r="C1855">
        <v>103.99</v>
      </c>
      <c r="D1855">
        <v>109.13215</v>
      </c>
      <c r="E1855" s="1">
        <v>43374</v>
      </c>
    </row>
    <row r="1856" spans="1:5" x14ac:dyDescent="0.25">
      <c r="A1856" t="s">
        <v>12</v>
      </c>
      <c r="B1856" t="s">
        <v>7</v>
      </c>
      <c r="C1856">
        <v>103.79</v>
      </c>
      <c r="D1856">
        <v>106.96955</v>
      </c>
      <c r="E1856" s="1">
        <v>43405</v>
      </c>
    </row>
    <row r="1857" spans="1:5" x14ac:dyDescent="0.25">
      <c r="A1857" t="s">
        <v>12</v>
      </c>
      <c r="B1857" t="s">
        <v>7</v>
      </c>
      <c r="C1857">
        <v>103.68</v>
      </c>
      <c r="D1857">
        <v>114.98465</v>
      </c>
      <c r="E1857" s="1">
        <v>43435</v>
      </c>
    </row>
    <row r="1858" spans="1:5" x14ac:dyDescent="0.25">
      <c r="A1858" t="s">
        <v>12</v>
      </c>
      <c r="B1858" t="s">
        <v>7</v>
      </c>
      <c r="C1858">
        <v>107.37</v>
      </c>
      <c r="D1858">
        <v>107.93921</v>
      </c>
      <c r="E1858" s="1">
        <v>43466</v>
      </c>
    </row>
    <row r="1859" spans="1:5" x14ac:dyDescent="0.25">
      <c r="A1859" t="s">
        <v>12</v>
      </c>
      <c r="B1859" t="s">
        <v>7</v>
      </c>
      <c r="C1859">
        <v>108.73</v>
      </c>
      <c r="D1859">
        <v>98.479550000000003</v>
      </c>
      <c r="E1859" s="1">
        <v>43497</v>
      </c>
    </row>
    <row r="1860" spans="1:5" x14ac:dyDescent="0.25">
      <c r="A1860" t="s">
        <v>12</v>
      </c>
      <c r="B1860" t="s">
        <v>7</v>
      </c>
      <c r="C1860">
        <v>109.11</v>
      </c>
      <c r="D1860">
        <v>108.30127</v>
      </c>
      <c r="E1860" s="1">
        <v>43525</v>
      </c>
    </row>
    <row r="1861" spans="1:5" x14ac:dyDescent="0.25">
      <c r="A1861" t="s">
        <v>12</v>
      </c>
      <c r="B1861" t="s">
        <v>7</v>
      </c>
      <c r="C1861">
        <v>111.61</v>
      </c>
      <c r="D1861">
        <v>109.70997</v>
      </c>
      <c r="E1861" s="1">
        <v>43556</v>
      </c>
    </row>
    <row r="1862" spans="1:5" x14ac:dyDescent="0.25">
      <c r="A1862" t="s">
        <v>12</v>
      </c>
      <c r="B1862" t="s">
        <v>7</v>
      </c>
      <c r="C1862">
        <v>109.05</v>
      </c>
      <c r="D1862">
        <v>108.27437999999999</v>
      </c>
      <c r="E1862" s="1">
        <v>43586</v>
      </c>
    </row>
    <row r="1863" spans="1:5" x14ac:dyDescent="0.25">
      <c r="A1863" t="s">
        <v>12</v>
      </c>
      <c r="B1863" t="s">
        <v>7</v>
      </c>
      <c r="C1863">
        <v>109.36</v>
      </c>
      <c r="D1863">
        <v>104.86418</v>
      </c>
      <c r="E1863" s="1">
        <v>43617</v>
      </c>
    </row>
    <row r="1864" spans="1:5" x14ac:dyDescent="0.25">
      <c r="A1864" t="s">
        <v>12</v>
      </c>
      <c r="B1864" t="s">
        <v>7</v>
      </c>
      <c r="C1864">
        <v>108.96</v>
      </c>
      <c r="D1864">
        <v>110.25485</v>
      </c>
      <c r="E1864" s="1">
        <v>43647</v>
      </c>
    </row>
    <row r="1865" spans="1:5" x14ac:dyDescent="0.25">
      <c r="A1865" t="s">
        <v>12</v>
      </c>
      <c r="B1865" t="s">
        <v>7</v>
      </c>
      <c r="C1865">
        <v>106.04</v>
      </c>
      <c r="D1865">
        <v>105.04895</v>
      </c>
      <c r="E1865" s="1">
        <v>43678</v>
      </c>
    </row>
    <row r="1866" spans="1:5" x14ac:dyDescent="0.25">
      <c r="A1866" t="s">
        <v>12</v>
      </c>
      <c r="B1866" t="s">
        <v>7</v>
      </c>
      <c r="C1866">
        <v>106.52</v>
      </c>
      <c r="D1866">
        <v>104.98583000000001</v>
      </c>
      <c r="E1866" s="1">
        <v>43709</v>
      </c>
    </row>
    <row r="1867" spans="1:5" x14ac:dyDescent="0.25">
      <c r="A1867" t="s">
        <v>12</v>
      </c>
      <c r="B1867" t="s">
        <v>7</v>
      </c>
      <c r="C1867">
        <v>108.24</v>
      </c>
      <c r="D1867">
        <v>112.12853</v>
      </c>
      <c r="E1867" s="1">
        <v>43739</v>
      </c>
    </row>
    <row r="1868" spans="1:5" x14ac:dyDescent="0.25">
      <c r="A1868" t="s">
        <v>12</v>
      </c>
      <c r="B1868" t="s">
        <v>7</v>
      </c>
      <c r="C1868">
        <v>103.3</v>
      </c>
      <c r="D1868">
        <v>108.77032</v>
      </c>
      <c r="E1868" s="1">
        <v>43770</v>
      </c>
    </row>
    <row r="1869" spans="1:5" x14ac:dyDescent="0.25">
      <c r="A1869" t="s">
        <v>12</v>
      </c>
      <c r="B1869" t="s">
        <v>7</v>
      </c>
      <c r="C1869">
        <v>103.92</v>
      </c>
      <c r="D1869">
        <v>113.20789000000001</v>
      </c>
      <c r="E1869" s="1">
        <v>43800</v>
      </c>
    </row>
    <row r="1870" spans="1:5" x14ac:dyDescent="0.25">
      <c r="A1870" t="s">
        <v>12</v>
      </c>
      <c r="B1870" t="s">
        <v>7</v>
      </c>
      <c r="C1870">
        <v>104.66</v>
      </c>
      <c r="D1870">
        <v>105.69826</v>
      </c>
      <c r="E1870" s="1">
        <v>43831</v>
      </c>
    </row>
    <row r="1871" spans="1:5" x14ac:dyDescent="0.25">
      <c r="A1871" t="s">
        <v>12</v>
      </c>
      <c r="B1871" t="s">
        <v>7</v>
      </c>
      <c r="C1871">
        <v>105.39</v>
      </c>
      <c r="D1871">
        <v>96.685220000000001</v>
      </c>
      <c r="E1871" s="1">
        <v>43862</v>
      </c>
    </row>
    <row r="1872" spans="1:5" x14ac:dyDescent="0.25">
      <c r="A1872" t="s">
        <v>12</v>
      </c>
      <c r="B1872" t="s">
        <v>7</v>
      </c>
      <c r="C1872">
        <v>73.23</v>
      </c>
      <c r="D1872">
        <v>72.018889999999999</v>
      </c>
      <c r="E1872" s="1">
        <v>43891</v>
      </c>
    </row>
    <row r="1873" spans="1:5" x14ac:dyDescent="0.25">
      <c r="A1873" t="s">
        <v>12</v>
      </c>
      <c r="B1873" t="s">
        <v>7</v>
      </c>
      <c r="C1873">
        <v>40.78</v>
      </c>
      <c r="D1873">
        <v>37.493160000000003</v>
      </c>
      <c r="E1873" s="1">
        <v>43922</v>
      </c>
    </row>
    <row r="1874" spans="1:5" x14ac:dyDescent="0.25">
      <c r="A1874" t="s">
        <v>12</v>
      </c>
      <c r="B1874" t="s">
        <v>7</v>
      </c>
      <c r="C1874">
        <v>38.78</v>
      </c>
      <c r="D1874">
        <v>39.276629999999997</v>
      </c>
      <c r="E1874" s="1">
        <v>43952</v>
      </c>
    </row>
    <row r="1875" spans="1:5" x14ac:dyDescent="0.25">
      <c r="A1875" t="s">
        <v>12</v>
      </c>
      <c r="B1875" t="s">
        <v>7</v>
      </c>
      <c r="C1875">
        <v>46.64</v>
      </c>
      <c r="D1875">
        <v>42.956099999999999</v>
      </c>
      <c r="E1875" s="1">
        <v>43983</v>
      </c>
    </row>
    <row r="1876" spans="1:5" x14ac:dyDescent="0.25">
      <c r="A1876" t="s">
        <v>12</v>
      </c>
      <c r="B1876" t="s">
        <v>7</v>
      </c>
      <c r="C1876">
        <v>49.35</v>
      </c>
      <c r="D1876">
        <v>50.788580000000003</v>
      </c>
      <c r="E1876" s="1">
        <v>44013</v>
      </c>
    </row>
    <row r="1877" spans="1:5" x14ac:dyDescent="0.25">
      <c r="A1877" t="s">
        <v>12</v>
      </c>
      <c r="B1877" t="s">
        <v>7</v>
      </c>
      <c r="C1877">
        <v>59.77</v>
      </c>
      <c r="D1877">
        <v>57.63212</v>
      </c>
      <c r="E1877" s="1">
        <v>44044</v>
      </c>
    </row>
    <row r="1878" spans="1:5" x14ac:dyDescent="0.25">
      <c r="A1878" t="s">
        <v>12</v>
      </c>
      <c r="B1878" t="s">
        <v>7</v>
      </c>
      <c r="C1878">
        <v>65.83</v>
      </c>
      <c r="D1878">
        <v>64.636409999999998</v>
      </c>
      <c r="E1878" s="1">
        <v>44075</v>
      </c>
    </row>
    <row r="1879" spans="1:5" x14ac:dyDescent="0.25">
      <c r="A1879" t="s">
        <v>12</v>
      </c>
      <c r="B1879" t="s">
        <v>7</v>
      </c>
      <c r="C1879">
        <v>67.66</v>
      </c>
      <c r="D1879">
        <v>73.644139999999993</v>
      </c>
      <c r="E1879" s="1">
        <v>44105</v>
      </c>
    </row>
    <row r="1880" spans="1:5" x14ac:dyDescent="0.25">
      <c r="A1880" t="s">
        <v>12</v>
      </c>
      <c r="B1880" t="s">
        <v>7</v>
      </c>
      <c r="C1880">
        <v>73.87</v>
      </c>
      <c r="D1880">
        <v>76.577699999999993</v>
      </c>
      <c r="E1880" s="1">
        <v>44136</v>
      </c>
    </row>
    <row r="1881" spans="1:5" x14ac:dyDescent="0.25">
      <c r="A1881" t="s">
        <v>12</v>
      </c>
      <c r="B1881" t="s">
        <v>7</v>
      </c>
      <c r="C1881">
        <v>72.569999999999993</v>
      </c>
      <c r="D1881">
        <v>83.007810000000006</v>
      </c>
      <c r="E1881" s="1">
        <v>44166</v>
      </c>
    </row>
    <row r="1882" spans="1:5" x14ac:dyDescent="0.25">
      <c r="A1882" t="s">
        <v>12</v>
      </c>
      <c r="B1882" t="s">
        <v>7</v>
      </c>
      <c r="C1882">
        <v>71.03</v>
      </c>
      <c r="D1882">
        <v>72.705550000000002</v>
      </c>
      <c r="E1882" s="1">
        <v>44197</v>
      </c>
    </row>
    <row r="1883" spans="1:5" x14ac:dyDescent="0.25">
      <c r="A1883" t="s">
        <v>12</v>
      </c>
      <c r="B1883" t="s">
        <v>7</v>
      </c>
      <c r="C1883">
        <v>79.17</v>
      </c>
      <c r="D1883">
        <v>66.192930000000004</v>
      </c>
      <c r="E1883" s="1">
        <v>44228</v>
      </c>
    </row>
    <row r="1884" spans="1:5" x14ac:dyDescent="0.25">
      <c r="A1884" t="s">
        <v>12</v>
      </c>
      <c r="B1884" t="s">
        <v>7</v>
      </c>
      <c r="C1884">
        <v>56.19</v>
      </c>
      <c r="D1884">
        <v>56.263199999999998</v>
      </c>
      <c r="E1884" s="1">
        <v>44256</v>
      </c>
    </row>
    <row r="1885" spans="1:5" x14ac:dyDescent="0.25">
      <c r="A1885" t="s">
        <v>12</v>
      </c>
      <c r="B1885" t="s">
        <v>7</v>
      </c>
      <c r="C1885">
        <v>60.57</v>
      </c>
      <c r="D1885">
        <v>57.481549999999999</v>
      </c>
      <c r="E1885" s="1">
        <v>44287</v>
      </c>
    </row>
    <row r="1886" spans="1:5" x14ac:dyDescent="0.25">
      <c r="A1886" t="s">
        <v>12</v>
      </c>
      <c r="B1886" t="s">
        <v>7</v>
      </c>
      <c r="C1886">
        <v>67.77</v>
      </c>
      <c r="D1886">
        <v>68.061340000000001</v>
      </c>
      <c r="E1886" s="1">
        <v>44317</v>
      </c>
    </row>
    <row r="1887" spans="1:5" x14ac:dyDescent="0.25">
      <c r="A1887" t="s">
        <v>12</v>
      </c>
      <c r="B1887" t="s">
        <v>7</v>
      </c>
      <c r="C1887">
        <v>74.510000000000005</v>
      </c>
      <c r="D1887">
        <v>70.335509999999999</v>
      </c>
      <c r="E1887" s="1">
        <v>44348</v>
      </c>
    </row>
    <row r="1888" spans="1:5" x14ac:dyDescent="0.25">
      <c r="A1888" t="s">
        <v>12</v>
      </c>
      <c r="B1888" t="s">
        <v>7</v>
      </c>
      <c r="C1888">
        <v>76.8</v>
      </c>
      <c r="D1888">
        <v>79.794499999999999</v>
      </c>
      <c r="E1888" s="1">
        <v>44378</v>
      </c>
    </row>
    <row r="1889" spans="1:5" x14ac:dyDescent="0.25">
      <c r="A1889" t="s">
        <v>12</v>
      </c>
      <c r="B1889" t="s">
        <v>7</v>
      </c>
      <c r="C1889">
        <v>82.56</v>
      </c>
      <c r="D1889">
        <v>78.718800000000002</v>
      </c>
      <c r="E1889" s="1">
        <v>44409</v>
      </c>
    </row>
    <row r="1890" spans="1:5" x14ac:dyDescent="0.25">
      <c r="A1890" t="s">
        <v>12</v>
      </c>
      <c r="B1890" t="s">
        <v>7</v>
      </c>
      <c r="C1890">
        <v>82.69</v>
      </c>
      <c r="D1890">
        <v>80.537649999999999</v>
      </c>
      <c r="E1890" s="1">
        <v>44440</v>
      </c>
    </row>
    <row r="1891" spans="1:5" x14ac:dyDescent="0.25">
      <c r="A1891" t="s">
        <v>12</v>
      </c>
      <c r="B1891" t="s">
        <v>7</v>
      </c>
      <c r="C1891">
        <v>85.32</v>
      </c>
      <c r="D1891">
        <v>90.134839999999997</v>
      </c>
      <c r="E1891" s="1">
        <v>44470</v>
      </c>
    </row>
    <row r="1892" spans="1:5" x14ac:dyDescent="0.25">
      <c r="A1892" t="s">
        <v>12</v>
      </c>
      <c r="B1892" t="s">
        <v>7</v>
      </c>
      <c r="C1892">
        <v>89.17</v>
      </c>
      <c r="D1892">
        <v>93.77861</v>
      </c>
      <c r="E1892" s="1">
        <v>44501</v>
      </c>
    </row>
    <row r="1893" spans="1:5" x14ac:dyDescent="0.25">
      <c r="A1893" t="s">
        <v>12</v>
      </c>
      <c r="B1893" t="s">
        <v>7</v>
      </c>
      <c r="C1893">
        <v>92.31</v>
      </c>
      <c r="D1893">
        <v>105.14771</v>
      </c>
      <c r="E1893" s="1">
        <v>44531</v>
      </c>
    </row>
    <row r="1894" spans="1:5" x14ac:dyDescent="0.25">
      <c r="A1894" t="s">
        <v>12</v>
      </c>
      <c r="B1894" t="s">
        <v>7</v>
      </c>
      <c r="C1894">
        <v>89.39</v>
      </c>
      <c r="D1894">
        <v>91.042249999999996</v>
      </c>
      <c r="E1894" s="1">
        <v>44562</v>
      </c>
    </row>
    <row r="1895" spans="1:5" x14ac:dyDescent="0.25">
      <c r="A1895" t="s">
        <v>12</v>
      </c>
      <c r="B1895" t="s">
        <v>7</v>
      </c>
      <c r="C1895">
        <v>95.14</v>
      </c>
      <c r="D1895">
        <v>81.84693</v>
      </c>
      <c r="E1895" s="1">
        <v>44593</v>
      </c>
    </row>
    <row r="1896" spans="1:5" x14ac:dyDescent="0.25">
      <c r="A1896" t="s">
        <v>12</v>
      </c>
      <c r="B1896" t="s">
        <v>7</v>
      </c>
      <c r="C1896">
        <v>99.72</v>
      </c>
      <c r="D1896">
        <v>98.588220000000007</v>
      </c>
      <c r="E1896" s="1">
        <v>44621</v>
      </c>
    </row>
    <row r="1897" spans="1:5" x14ac:dyDescent="0.25">
      <c r="A1897" t="s">
        <v>12</v>
      </c>
      <c r="B1897" t="s">
        <v>7</v>
      </c>
      <c r="C1897">
        <v>99.49</v>
      </c>
      <c r="D1897">
        <v>97.424109999999999</v>
      </c>
      <c r="E1897" s="1">
        <v>44652</v>
      </c>
    </row>
    <row r="1898" spans="1:5" x14ac:dyDescent="0.25">
      <c r="A1898" t="s">
        <v>12</v>
      </c>
      <c r="B1898" t="s">
        <v>7</v>
      </c>
      <c r="C1898">
        <v>101.73</v>
      </c>
      <c r="D1898">
        <v>100.23226</v>
      </c>
      <c r="E1898" s="1">
        <v>44682</v>
      </c>
    </row>
    <row r="1899" spans="1:5" x14ac:dyDescent="0.25">
      <c r="A1899" t="s">
        <v>12</v>
      </c>
      <c r="B1899" t="s">
        <v>7</v>
      </c>
      <c r="C1899">
        <v>99.92</v>
      </c>
      <c r="D1899">
        <v>95.621290000000002</v>
      </c>
      <c r="E1899" s="1">
        <v>44713</v>
      </c>
    </row>
    <row r="1900" spans="1:5" x14ac:dyDescent="0.25">
      <c r="A1900" t="s">
        <v>12</v>
      </c>
      <c r="B1900" t="s">
        <v>7</v>
      </c>
      <c r="C1900">
        <v>100.39</v>
      </c>
      <c r="D1900">
        <v>102.71903</v>
      </c>
      <c r="E1900" s="1">
        <v>44743</v>
      </c>
    </row>
    <row r="1901" spans="1:5" x14ac:dyDescent="0.25">
      <c r="A1901" t="s">
        <v>12</v>
      </c>
      <c r="B1901" t="s">
        <v>7</v>
      </c>
      <c r="C1901">
        <v>103.93</v>
      </c>
      <c r="D1901">
        <v>101.01112000000001</v>
      </c>
      <c r="E1901" s="1">
        <v>44774</v>
      </c>
    </row>
    <row r="1902" spans="1:5" x14ac:dyDescent="0.25">
      <c r="A1902" t="s">
        <v>12</v>
      </c>
      <c r="B1902" t="s">
        <v>7</v>
      </c>
      <c r="C1902">
        <v>105.21</v>
      </c>
      <c r="D1902">
        <v>103.12694</v>
      </c>
      <c r="E1902" s="1">
        <v>44805</v>
      </c>
    </row>
    <row r="1903" spans="1:5" x14ac:dyDescent="0.25">
      <c r="A1903" t="s">
        <v>12</v>
      </c>
      <c r="B1903" t="s">
        <v>7</v>
      </c>
      <c r="C1903">
        <v>102.53</v>
      </c>
      <c r="D1903">
        <v>106.82458</v>
      </c>
      <c r="E1903" s="1">
        <v>44835</v>
      </c>
    </row>
    <row r="1904" spans="1:5" x14ac:dyDescent="0.25">
      <c r="A1904" t="s">
        <v>12</v>
      </c>
      <c r="B1904" t="s">
        <v>7</v>
      </c>
      <c r="C1904">
        <v>100.47</v>
      </c>
      <c r="D1904">
        <v>105.07463</v>
      </c>
      <c r="E1904" s="1">
        <v>44866</v>
      </c>
    </row>
    <row r="1905" spans="1:5" x14ac:dyDescent="0.25">
      <c r="A1905" t="s">
        <v>12</v>
      </c>
      <c r="B1905" t="s">
        <v>7</v>
      </c>
      <c r="C1905">
        <v>100.43</v>
      </c>
      <c r="D1905">
        <v>116.48864</v>
      </c>
      <c r="E1905" s="1">
        <v>44896</v>
      </c>
    </row>
    <row r="1906" spans="1:5" x14ac:dyDescent="0.25">
      <c r="A1906" t="s">
        <v>12</v>
      </c>
      <c r="B1906" t="s">
        <v>7</v>
      </c>
      <c r="C1906">
        <v>105.56</v>
      </c>
      <c r="D1906">
        <v>106.07729999999999</v>
      </c>
      <c r="E1906" s="1">
        <v>44927</v>
      </c>
    </row>
    <row r="1907" spans="1:5" x14ac:dyDescent="0.25">
      <c r="A1907" t="s">
        <v>12</v>
      </c>
      <c r="B1907" t="s">
        <v>7</v>
      </c>
      <c r="C1907">
        <v>102.38</v>
      </c>
      <c r="D1907">
        <v>88.49718</v>
      </c>
      <c r="E1907" s="1">
        <v>44958</v>
      </c>
    </row>
    <row r="1908" spans="1:5" x14ac:dyDescent="0.25">
      <c r="A1908" t="s">
        <v>12</v>
      </c>
      <c r="B1908" t="s">
        <v>7</v>
      </c>
      <c r="C1908">
        <v>103.02</v>
      </c>
      <c r="D1908">
        <v>102.77719</v>
      </c>
      <c r="E1908" s="1">
        <v>44986</v>
      </c>
    </row>
    <row r="1909" spans="1:5" x14ac:dyDescent="0.25">
      <c r="A1909" t="s">
        <v>12</v>
      </c>
      <c r="B1909" t="s">
        <v>7</v>
      </c>
      <c r="C1909">
        <v>101.46</v>
      </c>
      <c r="D1909">
        <v>96.660229999999999</v>
      </c>
      <c r="E1909" s="1">
        <v>45017</v>
      </c>
    </row>
    <row r="1910" spans="1:5" x14ac:dyDescent="0.25">
      <c r="A1910" t="s">
        <v>12</v>
      </c>
      <c r="B1910" t="s">
        <v>7</v>
      </c>
      <c r="C1910">
        <v>98.31</v>
      </c>
      <c r="D1910">
        <v>97.718040000000002</v>
      </c>
      <c r="E1910" s="1">
        <v>45047</v>
      </c>
    </row>
    <row r="1911" spans="1:5" x14ac:dyDescent="0.25">
      <c r="A1911" t="s">
        <v>12</v>
      </c>
      <c r="B1911" t="s">
        <v>7</v>
      </c>
      <c r="C1911">
        <v>101.55</v>
      </c>
      <c r="D1911">
        <v>97.943849999999998</v>
      </c>
      <c r="E1911" s="1">
        <v>45078</v>
      </c>
    </row>
    <row r="1912" spans="1:5" x14ac:dyDescent="0.25">
      <c r="A1912" t="s">
        <v>12</v>
      </c>
      <c r="B1912" t="s">
        <v>7</v>
      </c>
      <c r="C1912">
        <v>107.71</v>
      </c>
      <c r="D1912">
        <v>110.11081</v>
      </c>
      <c r="E1912" s="1">
        <v>45108</v>
      </c>
    </row>
    <row r="1913" spans="1:5" x14ac:dyDescent="0.25">
      <c r="A1913" t="s">
        <v>12</v>
      </c>
      <c r="B1913" t="s">
        <v>7</v>
      </c>
      <c r="C1913">
        <v>99.54</v>
      </c>
      <c r="D1913">
        <v>95.369169999999997</v>
      </c>
      <c r="E1913" s="1">
        <v>45139</v>
      </c>
    </row>
    <row r="1914" spans="1:5" x14ac:dyDescent="0.25">
      <c r="A1914" t="s">
        <v>12</v>
      </c>
      <c r="B1914" t="s">
        <v>7</v>
      </c>
      <c r="C1914">
        <v>99.25</v>
      </c>
      <c r="D1914">
        <v>98.430729999999997</v>
      </c>
      <c r="E1914" s="1">
        <v>45170</v>
      </c>
    </row>
    <row r="1915" spans="1:5" x14ac:dyDescent="0.25">
      <c r="A1915" t="s">
        <v>12</v>
      </c>
      <c r="B1915" t="s">
        <v>7</v>
      </c>
      <c r="C1915">
        <v>101.25</v>
      </c>
      <c r="D1915">
        <v>104.07053999999999</v>
      </c>
      <c r="E1915" s="1">
        <v>45200</v>
      </c>
    </row>
    <row r="1916" spans="1:5" x14ac:dyDescent="0.25">
      <c r="A1916" t="s">
        <v>12</v>
      </c>
      <c r="B1916" t="s">
        <v>7</v>
      </c>
      <c r="C1916">
        <v>106.88</v>
      </c>
      <c r="D1916">
        <v>111.40115</v>
      </c>
      <c r="E1916" s="1">
        <v>45231</v>
      </c>
    </row>
    <row r="1917" spans="1:5" x14ac:dyDescent="0.25">
      <c r="A1917" t="s">
        <v>12</v>
      </c>
      <c r="B1917" t="s">
        <v>7</v>
      </c>
      <c r="C1917">
        <v>108.56</v>
      </c>
      <c r="D1917">
        <v>124.82553</v>
      </c>
      <c r="E1917" s="1">
        <v>45261</v>
      </c>
    </row>
    <row r="1918" spans="1:5" x14ac:dyDescent="0.25">
      <c r="A1918" t="s">
        <v>12</v>
      </c>
      <c r="B1918" t="s">
        <v>7</v>
      </c>
      <c r="C1918">
        <v>107.6</v>
      </c>
      <c r="D1918">
        <v>109.85115999999999</v>
      </c>
      <c r="E1918" s="1">
        <v>45292</v>
      </c>
    </row>
    <row r="1919" spans="1:5" x14ac:dyDescent="0.25">
      <c r="A1919" t="s">
        <v>12</v>
      </c>
      <c r="B1919" t="s">
        <v>7</v>
      </c>
      <c r="C1919">
        <v>105.72</v>
      </c>
      <c r="D1919">
        <v>93.46848</v>
      </c>
      <c r="E1919" s="1">
        <v>45323</v>
      </c>
    </row>
    <row r="1920" spans="1:5" x14ac:dyDescent="0.25">
      <c r="A1920" t="s">
        <v>12</v>
      </c>
      <c r="B1920" t="s">
        <v>7</v>
      </c>
      <c r="C1920">
        <v>104.87</v>
      </c>
      <c r="D1920">
        <v>105.32315</v>
      </c>
      <c r="E1920" s="1">
        <v>45352</v>
      </c>
    </row>
    <row r="1921" spans="1:5" x14ac:dyDescent="0.25">
      <c r="A1921" t="s">
        <v>12</v>
      </c>
      <c r="B1921" t="s">
        <v>7</v>
      </c>
      <c r="C1921">
        <v>104.84</v>
      </c>
      <c r="D1921">
        <v>100.01896000000001</v>
      </c>
      <c r="E1921" s="1">
        <v>45383</v>
      </c>
    </row>
    <row r="1922" spans="1:5" x14ac:dyDescent="0.25">
      <c r="A1922" t="s">
        <v>12</v>
      </c>
      <c r="B1922" t="s">
        <v>7</v>
      </c>
      <c r="C1922">
        <v>108.09</v>
      </c>
      <c r="D1922">
        <v>106.85301</v>
      </c>
      <c r="E1922" s="1">
        <v>45413</v>
      </c>
    </row>
    <row r="1923" spans="1:5" x14ac:dyDescent="0.25">
      <c r="A1923" t="s">
        <v>12</v>
      </c>
      <c r="B1923" t="s">
        <v>7</v>
      </c>
      <c r="C1923">
        <v>108.51</v>
      </c>
      <c r="D1923">
        <v>104.50557999999999</v>
      </c>
      <c r="E1923" s="1">
        <v>45444</v>
      </c>
    </row>
    <row r="1924" spans="1:5" x14ac:dyDescent="0.25">
      <c r="A1924" t="s">
        <v>12</v>
      </c>
      <c r="B1924" t="s">
        <v>7</v>
      </c>
      <c r="C1924">
        <v>110.42</v>
      </c>
      <c r="D1924">
        <v>113.08036</v>
      </c>
      <c r="E1924" s="1">
        <v>45474</v>
      </c>
    </row>
    <row r="1925" spans="1:5" x14ac:dyDescent="0.25">
      <c r="A1925" t="s">
        <v>12</v>
      </c>
      <c r="B1925" t="s">
        <v>7</v>
      </c>
      <c r="C1925">
        <v>107.46</v>
      </c>
      <c r="D1925">
        <v>105.41306</v>
      </c>
      <c r="E1925" s="1">
        <v>45505</v>
      </c>
    </row>
    <row r="1926" spans="1:5" x14ac:dyDescent="0.25">
      <c r="A1926" t="s">
        <v>12</v>
      </c>
      <c r="B1926" t="s">
        <v>7</v>
      </c>
      <c r="C1926">
        <v>107.48</v>
      </c>
      <c r="D1926">
        <v>102.89103</v>
      </c>
      <c r="E1926" s="1">
        <v>45536</v>
      </c>
    </row>
    <row r="1927" spans="1:5" x14ac:dyDescent="0.25">
      <c r="A1927" t="s">
        <v>12</v>
      </c>
      <c r="B1927" t="s">
        <v>7</v>
      </c>
      <c r="C1927">
        <v>110.65</v>
      </c>
      <c r="D1927">
        <v>114.0386</v>
      </c>
      <c r="E1927" s="1">
        <v>45566</v>
      </c>
    </row>
    <row r="1928" spans="1:5" x14ac:dyDescent="0.25">
      <c r="A1928" t="s">
        <v>12</v>
      </c>
      <c r="B1928" t="s">
        <v>7</v>
      </c>
      <c r="C1928">
        <v>107.53</v>
      </c>
      <c r="D1928">
        <v>114.95052</v>
      </c>
      <c r="E1928" s="1">
        <v>45597</v>
      </c>
    </row>
    <row r="1929" spans="1:5" x14ac:dyDescent="0.25">
      <c r="A1929" t="s">
        <v>12</v>
      </c>
      <c r="B1929" t="s">
        <v>7</v>
      </c>
      <c r="C1929">
        <v>113.18</v>
      </c>
      <c r="D1929">
        <v>128.34293</v>
      </c>
      <c r="E1929" s="1">
        <v>45627</v>
      </c>
    </row>
    <row r="1930" spans="1:5" x14ac:dyDescent="0.25">
      <c r="A1930" t="s">
        <v>12</v>
      </c>
      <c r="B1930" t="s">
        <v>7</v>
      </c>
      <c r="C1930">
        <v>106.96</v>
      </c>
      <c r="D1930">
        <v>109.64302000000001</v>
      </c>
      <c r="E1930" s="1">
        <v>45658</v>
      </c>
    </row>
    <row r="1931" spans="1:5" x14ac:dyDescent="0.25">
      <c r="A1931" t="s">
        <v>12</v>
      </c>
      <c r="B1931" t="s">
        <v>7</v>
      </c>
      <c r="C1931">
        <v>107.08</v>
      </c>
      <c r="D1931">
        <v>93.839340000000007</v>
      </c>
      <c r="E1931" s="1">
        <v>45689</v>
      </c>
    </row>
    <row r="1932" spans="1:5" x14ac:dyDescent="0.25">
      <c r="A1932" t="s">
        <v>12</v>
      </c>
      <c r="B1932" t="s">
        <v>7</v>
      </c>
      <c r="C1932">
        <v>107.94</v>
      </c>
      <c r="D1932">
        <v>106.36599</v>
      </c>
      <c r="E1932" s="1">
        <v>45717</v>
      </c>
    </row>
    <row r="1933" spans="1:5" x14ac:dyDescent="0.25">
      <c r="A1933" t="s">
        <v>12</v>
      </c>
      <c r="B1933" t="s">
        <v>7</v>
      </c>
      <c r="C1933">
        <v>109.68</v>
      </c>
      <c r="D1933">
        <v>104.52422</v>
      </c>
      <c r="E1933" s="1">
        <v>45748</v>
      </c>
    </row>
    <row r="1934" spans="1:5" x14ac:dyDescent="0.25">
      <c r="A1934" t="s">
        <v>12</v>
      </c>
      <c r="B1934" t="s">
        <v>7</v>
      </c>
      <c r="C1934">
        <v>107.19</v>
      </c>
      <c r="D1934">
        <v>107.38896</v>
      </c>
      <c r="E1934" s="1">
        <v>45778</v>
      </c>
    </row>
    <row r="1935" spans="1:5" x14ac:dyDescent="0.25">
      <c r="A1935" t="s">
        <v>12</v>
      </c>
      <c r="B1935" t="s">
        <v>7</v>
      </c>
      <c r="C1935">
        <v>107.24</v>
      </c>
      <c r="D1935">
        <v>101.7975</v>
      </c>
      <c r="E1935" s="1">
        <v>45809</v>
      </c>
    </row>
    <row r="1936" spans="1:5" x14ac:dyDescent="0.25">
      <c r="A1936" t="s">
        <v>12</v>
      </c>
      <c r="B1936" t="s">
        <v>7</v>
      </c>
      <c r="C1936">
        <v>108.7</v>
      </c>
      <c r="D1936">
        <v>110.91119</v>
      </c>
      <c r="E1936" s="1">
        <v>45839</v>
      </c>
    </row>
    <row r="1937" spans="1:5" x14ac:dyDescent="0.25">
      <c r="A1937" t="s">
        <v>12</v>
      </c>
      <c r="B1937" t="s">
        <v>7</v>
      </c>
      <c r="C1937">
        <v>109.38</v>
      </c>
      <c r="D1937">
        <v>105.97723999999999</v>
      </c>
      <c r="E1937" s="1">
        <v>45870</v>
      </c>
    </row>
    <row r="1938" spans="1:5" x14ac:dyDescent="0.25">
      <c r="A1938" t="s">
        <v>12</v>
      </c>
      <c r="B1938" t="s">
        <v>6</v>
      </c>
      <c r="C1938">
        <v>78.03</v>
      </c>
      <c r="D1938">
        <v>73.630830000000003</v>
      </c>
      <c r="E1938" s="1">
        <v>40544</v>
      </c>
    </row>
    <row r="1939" spans="1:5" x14ac:dyDescent="0.25">
      <c r="A1939" t="s">
        <v>12</v>
      </c>
      <c r="B1939" t="s">
        <v>6</v>
      </c>
      <c r="C1939">
        <v>78.650000000000006</v>
      </c>
      <c r="D1939">
        <v>73.314260000000004</v>
      </c>
      <c r="E1939" s="1">
        <v>40575</v>
      </c>
    </row>
    <row r="1940" spans="1:5" x14ac:dyDescent="0.25">
      <c r="A1940" t="s">
        <v>12</v>
      </c>
      <c r="B1940" t="s">
        <v>6</v>
      </c>
      <c r="C1940">
        <v>79</v>
      </c>
      <c r="D1940">
        <v>77.555009999999996</v>
      </c>
      <c r="E1940" s="1">
        <v>40603</v>
      </c>
    </row>
    <row r="1941" spans="1:5" x14ac:dyDescent="0.25">
      <c r="A1941" t="s">
        <v>12</v>
      </c>
      <c r="B1941" t="s">
        <v>6</v>
      </c>
      <c r="C1941">
        <v>80.36</v>
      </c>
      <c r="D1941">
        <v>77.562669999999997</v>
      </c>
      <c r="E1941" s="1">
        <v>40634</v>
      </c>
    </row>
    <row r="1942" spans="1:5" x14ac:dyDescent="0.25">
      <c r="A1942" t="s">
        <v>12</v>
      </c>
      <c r="B1942" t="s">
        <v>6</v>
      </c>
      <c r="C1942">
        <v>80.66</v>
      </c>
      <c r="D1942">
        <v>80.377809999999997</v>
      </c>
      <c r="E1942" s="1">
        <v>40664</v>
      </c>
    </row>
    <row r="1943" spans="1:5" x14ac:dyDescent="0.25">
      <c r="A1943" t="s">
        <v>12</v>
      </c>
      <c r="B1943" t="s">
        <v>6</v>
      </c>
      <c r="C1943">
        <v>80.97</v>
      </c>
      <c r="D1943">
        <v>80.248559999999998</v>
      </c>
      <c r="E1943" s="1">
        <v>40695</v>
      </c>
    </row>
    <row r="1944" spans="1:5" x14ac:dyDescent="0.25">
      <c r="A1944" t="s">
        <v>12</v>
      </c>
      <c r="B1944" t="s">
        <v>6</v>
      </c>
      <c r="C1944">
        <v>81.819999999999993</v>
      </c>
      <c r="D1944">
        <v>80.693619999999996</v>
      </c>
      <c r="E1944" s="1">
        <v>40725</v>
      </c>
    </row>
    <row r="1945" spans="1:5" x14ac:dyDescent="0.25">
      <c r="A1945" t="s">
        <v>12</v>
      </c>
      <c r="B1945" t="s">
        <v>6</v>
      </c>
      <c r="C1945">
        <v>81.540000000000006</v>
      </c>
      <c r="D1945">
        <v>83.146749999999997</v>
      </c>
      <c r="E1945" s="1">
        <v>40756</v>
      </c>
    </row>
    <row r="1946" spans="1:5" x14ac:dyDescent="0.25">
      <c r="A1946" t="s">
        <v>12</v>
      </c>
      <c r="B1946" t="s">
        <v>6</v>
      </c>
      <c r="C1946">
        <v>80.569999999999993</v>
      </c>
      <c r="D1946">
        <v>82.117900000000006</v>
      </c>
      <c r="E1946" s="1">
        <v>40787</v>
      </c>
    </row>
    <row r="1947" spans="1:5" x14ac:dyDescent="0.25">
      <c r="A1947" t="s">
        <v>12</v>
      </c>
      <c r="B1947" t="s">
        <v>6</v>
      </c>
      <c r="C1947">
        <v>80.33</v>
      </c>
      <c r="D1947">
        <v>81.557609999999997</v>
      </c>
      <c r="E1947" s="1">
        <v>40817</v>
      </c>
    </row>
    <row r="1948" spans="1:5" x14ac:dyDescent="0.25">
      <c r="A1948" t="s">
        <v>12</v>
      </c>
      <c r="B1948" t="s">
        <v>6</v>
      </c>
      <c r="C1948">
        <v>80.89</v>
      </c>
      <c r="D1948">
        <v>83.477950000000007</v>
      </c>
      <c r="E1948" s="1">
        <v>40848</v>
      </c>
    </row>
    <row r="1949" spans="1:5" x14ac:dyDescent="0.25">
      <c r="A1949" t="s">
        <v>12</v>
      </c>
      <c r="B1949" t="s">
        <v>6</v>
      </c>
      <c r="C1949">
        <v>80.64</v>
      </c>
      <c r="D1949">
        <v>88.894639999999995</v>
      </c>
      <c r="E1949" s="1">
        <v>40878</v>
      </c>
    </row>
    <row r="1950" spans="1:5" x14ac:dyDescent="0.25">
      <c r="A1950" t="s">
        <v>12</v>
      </c>
      <c r="B1950" t="s">
        <v>6</v>
      </c>
      <c r="C1950">
        <v>81.13</v>
      </c>
      <c r="D1950">
        <v>77.369990000000001</v>
      </c>
      <c r="E1950" s="1">
        <v>40909</v>
      </c>
    </row>
    <row r="1951" spans="1:5" x14ac:dyDescent="0.25">
      <c r="A1951" t="s">
        <v>12</v>
      </c>
      <c r="B1951" t="s">
        <v>6</v>
      </c>
      <c r="C1951">
        <v>81.37</v>
      </c>
      <c r="D1951">
        <v>76.393249999999995</v>
      </c>
      <c r="E1951" s="1">
        <v>40940</v>
      </c>
    </row>
    <row r="1952" spans="1:5" x14ac:dyDescent="0.25">
      <c r="A1952" t="s">
        <v>12</v>
      </c>
      <c r="B1952" t="s">
        <v>6</v>
      </c>
      <c r="C1952">
        <v>82.56</v>
      </c>
      <c r="D1952">
        <v>82.876279999999994</v>
      </c>
      <c r="E1952" s="1">
        <v>40969</v>
      </c>
    </row>
    <row r="1953" spans="1:5" x14ac:dyDescent="0.25">
      <c r="A1953" t="s">
        <v>12</v>
      </c>
      <c r="B1953" t="s">
        <v>6</v>
      </c>
      <c r="C1953">
        <v>81.92</v>
      </c>
      <c r="D1953">
        <v>78.618250000000003</v>
      </c>
      <c r="E1953" s="1">
        <v>41000</v>
      </c>
    </row>
    <row r="1954" spans="1:5" x14ac:dyDescent="0.25">
      <c r="A1954" t="s">
        <v>12</v>
      </c>
      <c r="B1954" t="s">
        <v>6</v>
      </c>
      <c r="C1954">
        <v>82.98</v>
      </c>
      <c r="D1954">
        <v>83.44014</v>
      </c>
      <c r="E1954" s="1">
        <v>41030</v>
      </c>
    </row>
    <row r="1955" spans="1:5" x14ac:dyDescent="0.25">
      <c r="A1955" t="s">
        <v>12</v>
      </c>
      <c r="B1955" t="s">
        <v>6</v>
      </c>
      <c r="C1955">
        <v>82.78</v>
      </c>
      <c r="D1955">
        <v>81.798000000000002</v>
      </c>
      <c r="E1955" s="1">
        <v>41061</v>
      </c>
    </row>
    <row r="1956" spans="1:5" x14ac:dyDescent="0.25">
      <c r="A1956" t="s">
        <v>12</v>
      </c>
      <c r="B1956" t="s">
        <v>6</v>
      </c>
      <c r="C1956">
        <v>83.66</v>
      </c>
      <c r="D1956">
        <v>82.870339999999999</v>
      </c>
      <c r="E1956" s="1">
        <v>41091</v>
      </c>
    </row>
    <row r="1957" spans="1:5" x14ac:dyDescent="0.25">
      <c r="A1957" t="s">
        <v>12</v>
      </c>
      <c r="B1957" t="s">
        <v>6</v>
      </c>
      <c r="C1957">
        <v>84.49</v>
      </c>
      <c r="D1957">
        <v>86.419280000000001</v>
      </c>
      <c r="E1957" s="1">
        <v>41122</v>
      </c>
    </row>
    <row r="1958" spans="1:5" x14ac:dyDescent="0.25">
      <c r="A1958" t="s">
        <v>12</v>
      </c>
      <c r="B1958" t="s">
        <v>6</v>
      </c>
      <c r="C1958">
        <v>84.38</v>
      </c>
      <c r="D1958">
        <v>84.573809999999995</v>
      </c>
      <c r="E1958" s="1">
        <v>41153</v>
      </c>
    </row>
    <row r="1959" spans="1:5" x14ac:dyDescent="0.25">
      <c r="A1959" t="s">
        <v>12</v>
      </c>
      <c r="B1959" t="s">
        <v>6</v>
      </c>
      <c r="C1959">
        <v>84.32</v>
      </c>
      <c r="D1959">
        <v>87.119929999999997</v>
      </c>
      <c r="E1959" s="1">
        <v>41183</v>
      </c>
    </row>
    <row r="1960" spans="1:5" x14ac:dyDescent="0.25">
      <c r="A1960" t="s">
        <v>12</v>
      </c>
      <c r="B1960" t="s">
        <v>6</v>
      </c>
      <c r="C1960">
        <v>84.43</v>
      </c>
      <c r="D1960">
        <v>87.046959999999999</v>
      </c>
      <c r="E1960" s="1">
        <v>41214</v>
      </c>
    </row>
    <row r="1961" spans="1:5" x14ac:dyDescent="0.25">
      <c r="A1961" t="s">
        <v>12</v>
      </c>
      <c r="B1961" t="s">
        <v>6</v>
      </c>
      <c r="C1961">
        <v>86.23</v>
      </c>
      <c r="D1961">
        <v>93.907740000000004</v>
      </c>
      <c r="E1961" s="1">
        <v>41244</v>
      </c>
    </row>
    <row r="1962" spans="1:5" x14ac:dyDescent="0.25">
      <c r="A1962" t="s">
        <v>12</v>
      </c>
      <c r="B1962" t="s">
        <v>6</v>
      </c>
      <c r="C1962">
        <v>86.24</v>
      </c>
      <c r="D1962">
        <v>82.988519999999994</v>
      </c>
      <c r="E1962" s="1">
        <v>41275</v>
      </c>
    </row>
    <row r="1963" spans="1:5" x14ac:dyDescent="0.25">
      <c r="A1963" t="s">
        <v>12</v>
      </c>
      <c r="B1963" t="s">
        <v>6</v>
      </c>
      <c r="C1963">
        <v>87.32</v>
      </c>
      <c r="D1963">
        <v>78.886200000000002</v>
      </c>
      <c r="E1963" s="1">
        <v>41306</v>
      </c>
    </row>
    <row r="1964" spans="1:5" x14ac:dyDescent="0.25">
      <c r="A1964" t="s">
        <v>12</v>
      </c>
      <c r="B1964" t="s">
        <v>6</v>
      </c>
      <c r="C1964">
        <v>85.5</v>
      </c>
      <c r="D1964">
        <v>84.199780000000004</v>
      </c>
      <c r="E1964" s="1">
        <v>41334</v>
      </c>
    </row>
    <row r="1965" spans="1:5" x14ac:dyDescent="0.25">
      <c r="A1965" t="s">
        <v>12</v>
      </c>
      <c r="B1965" t="s">
        <v>6</v>
      </c>
      <c r="C1965">
        <v>87.6</v>
      </c>
      <c r="D1965">
        <v>85.900139999999993</v>
      </c>
      <c r="E1965" s="1">
        <v>41365</v>
      </c>
    </row>
    <row r="1966" spans="1:5" x14ac:dyDescent="0.25">
      <c r="A1966" t="s">
        <v>12</v>
      </c>
      <c r="B1966" t="s">
        <v>6</v>
      </c>
      <c r="C1966">
        <v>87.17</v>
      </c>
      <c r="D1966">
        <v>87.215630000000004</v>
      </c>
      <c r="E1966" s="1">
        <v>41395</v>
      </c>
    </row>
    <row r="1967" spans="1:5" x14ac:dyDescent="0.25">
      <c r="A1967" t="s">
        <v>12</v>
      </c>
      <c r="B1967" t="s">
        <v>6</v>
      </c>
      <c r="C1967">
        <v>87.52</v>
      </c>
      <c r="D1967">
        <v>86.300910000000002</v>
      </c>
      <c r="E1967" s="1">
        <v>41426</v>
      </c>
    </row>
    <row r="1968" spans="1:5" x14ac:dyDescent="0.25">
      <c r="A1968" t="s">
        <v>12</v>
      </c>
      <c r="B1968" t="s">
        <v>6</v>
      </c>
      <c r="C1968">
        <v>87.09</v>
      </c>
      <c r="D1968">
        <v>86.939490000000006</v>
      </c>
      <c r="E1968" s="1">
        <v>41456</v>
      </c>
    </row>
    <row r="1969" spans="1:5" x14ac:dyDescent="0.25">
      <c r="A1969" t="s">
        <v>12</v>
      </c>
      <c r="B1969" t="s">
        <v>6</v>
      </c>
      <c r="C1969">
        <v>86.52</v>
      </c>
      <c r="D1969">
        <v>87.751109999999997</v>
      </c>
      <c r="E1969" s="1">
        <v>41487</v>
      </c>
    </row>
    <row r="1970" spans="1:5" x14ac:dyDescent="0.25">
      <c r="A1970" t="s">
        <v>12</v>
      </c>
      <c r="B1970" t="s">
        <v>6</v>
      </c>
      <c r="C1970">
        <v>87.82</v>
      </c>
      <c r="D1970">
        <v>88.461680000000001</v>
      </c>
      <c r="E1970" s="1">
        <v>41518</v>
      </c>
    </row>
    <row r="1971" spans="1:5" x14ac:dyDescent="0.25">
      <c r="A1971" t="s">
        <v>12</v>
      </c>
      <c r="B1971" t="s">
        <v>6</v>
      </c>
      <c r="C1971">
        <v>88.95</v>
      </c>
      <c r="D1971">
        <v>92.043880000000001</v>
      </c>
      <c r="E1971" s="1">
        <v>41548</v>
      </c>
    </row>
    <row r="1972" spans="1:5" x14ac:dyDescent="0.25">
      <c r="A1972" t="s">
        <v>12</v>
      </c>
      <c r="B1972" t="s">
        <v>6</v>
      </c>
      <c r="C1972">
        <v>89.47</v>
      </c>
      <c r="D1972">
        <v>91.540800000000004</v>
      </c>
      <c r="E1972" s="1">
        <v>41579</v>
      </c>
    </row>
    <row r="1973" spans="1:5" x14ac:dyDescent="0.25">
      <c r="A1973" t="s">
        <v>12</v>
      </c>
      <c r="B1973" t="s">
        <v>6</v>
      </c>
      <c r="C1973">
        <v>89.52</v>
      </c>
      <c r="D1973">
        <v>98.622649999999993</v>
      </c>
      <c r="E1973" s="1">
        <v>41609</v>
      </c>
    </row>
    <row r="1974" spans="1:5" x14ac:dyDescent="0.25">
      <c r="A1974" t="s">
        <v>12</v>
      </c>
      <c r="B1974" t="s">
        <v>6</v>
      </c>
      <c r="C1974">
        <v>92.39</v>
      </c>
      <c r="D1974">
        <v>88.929169999999999</v>
      </c>
      <c r="E1974" s="1">
        <v>41640</v>
      </c>
    </row>
    <row r="1975" spans="1:5" x14ac:dyDescent="0.25">
      <c r="A1975" t="s">
        <v>12</v>
      </c>
      <c r="B1975" t="s">
        <v>6</v>
      </c>
      <c r="C1975">
        <v>89.04</v>
      </c>
      <c r="D1975">
        <v>82.195170000000005</v>
      </c>
      <c r="E1975" s="1">
        <v>41671</v>
      </c>
    </row>
    <row r="1976" spans="1:5" x14ac:dyDescent="0.25">
      <c r="A1976" t="s">
        <v>12</v>
      </c>
      <c r="B1976" t="s">
        <v>6</v>
      </c>
      <c r="C1976">
        <v>89.19</v>
      </c>
      <c r="D1976">
        <v>86.438680000000005</v>
      </c>
      <c r="E1976" s="1">
        <v>41699</v>
      </c>
    </row>
    <row r="1977" spans="1:5" x14ac:dyDescent="0.25">
      <c r="A1977" t="s">
        <v>12</v>
      </c>
      <c r="B1977" t="s">
        <v>6</v>
      </c>
      <c r="C1977">
        <v>89.18</v>
      </c>
      <c r="D1977">
        <v>86.527919999999995</v>
      </c>
      <c r="E1977" s="1">
        <v>41730</v>
      </c>
    </row>
    <row r="1978" spans="1:5" x14ac:dyDescent="0.25">
      <c r="A1978" t="s">
        <v>12</v>
      </c>
      <c r="B1978" t="s">
        <v>6</v>
      </c>
      <c r="C1978">
        <v>89.05</v>
      </c>
      <c r="D1978">
        <v>88.844880000000003</v>
      </c>
      <c r="E1978" s="1">
        <v>41760</v>
      </c>
    </row>
    <row r="1979" spans="1:5" x14ac:dyDescent="0.25">
      <c r="A1979" t="s">
        <v>12</v>
      </c>
      <c r="B1979" t="s">
        <v>6</v>
      </c>
      <c r="C1979">
        <v>88.49</v>
      </c>
      <c r="D1979">
        <v>87.364400000000003</v>
      </c>
      <c r="E1979" s="1">
        <v>41791</v>
      </c>
    </row>
    <row r="1980" spans="1:5" x14ac:dyDescent="0.25">
      <c r="A1980" t="s">
        <v>12</v>
      </c>
      <c r="B1980" t="s">
        <v>6</v>
      </c>
      <c r="C1980">
        <v>89.12</v>
      </c>
      <c r="D1980">
        <v>89.188400000000001</v>
      </c>
      <c r="E1980" s="1">
        <v>41821</v>
      </c>
    </row>
    <row r="1981" spans="1:5" x14ac:dyDescent="0.25">
      <c r="A1981" t="s">
        <v>12</v>
      </c>
      <c r="B1981" t="s">
        <v>6</v>
      </c>
      <c r="C1981">
        <v>89.28</v>
      </c>
      <c r="D1981">
        <v>90.001940000000005</v>
      </c>
      <c r="E1981" s="1">
        <v>41852</v>
      </c>
    </row>
    <row r="1982" spans="1:5" x14ac:dyDescent="0.25">
      <c r="A1982" t="s">
        <v>12</v>
      </c>
      <c r="B1982" t="s">
        <v>6</v>
      </c>
      <c r="C1982">
        <v>91.18</v>
      </c>
      <c r="D1982">
        <v>92.705569999999994</v>
      </c>
      <c r="E1982" s="1">
        <v>41883</v>
      </c>
    </row>
    <row r="1983" spans="1:5" x14ac:dyDescent="0.25">
      <c r="A1983" t="s">
        <v>12</v>
      </c>
      <c r="B1983" t="s">
        <v>6</v>
      </c>
      <c r="C1983">
        <v>91.54</v>
      </c>
      <c r="D1983">
        <v>94.745260000000002</v>
      </c>
      <c r="E1983" s="1">
        <v>41913</v>
      </c>
    </row>
    <row r="1984" spans="1:5" x14ac:dyDescent="0.25">
      <c r="A1984" t="s">
        <v>12</v>
      </c>
      <c r="B1984" t="s">
        <v>6</v>
      </c>
      <c r="C1984">
        <v>91.34</v>
      </c>
      <c r="D1984">
        <v>92.521370000000005</v>
      </c>
      <c r="E1984" s="1">
        <v>41944</v>
      </c>
    </row>
    <row r="1985" spans="1:5" x14ac:dyDescent="0.25">
      <c r="A1985" t="s">
        <v>12</v>
      </c>
      <c r="B1985" t="s">
        <v>6</v>
      </c>
      <c r="C1985">
        <v>89.33</v>
      </c>
      <c r="D1985">
        <v>99.251329999999996</v>
      </c>
      <c r="E1985" s="1">
        <v>41974</v>
      </c>
    </row>
    <row r="1986" spans="1:5" x14ac:dyDescent="0.25">
      <c r="A1986" t="s">
        <v>12</v>
      </c>
      <c r="B1986" t="s">
        <v>6</v>
      </c>
      <c r="C1986">
        <v>89.61</v>
      </c>
      <c r="D1986">
        <v>85.477810000000005</v>
      </c>
      <c r="E1986" s="1">
        <v>42005</v>
      </c>
    </row>
    <row r="1987" spans="1:5" x14ac:dyDescent="0.25">
      <c r="A1987" t="s">
        <v>12</v>
      </c>
      <c r="B1987" t="s">
        <v>6</v>
      </c>
      <c r="C1987">
        <v>90.61</v>
      </c>
      <c r="D1987">
        <v>81.726119999999995</v>
      </c>
      <c r="E1987" s="1">
        <v>42036</v>
      </c>
    </row>
    <row r="1988" spans="1:5" x14ac:dyDescent="0.25">
      <c r="A1988" t="s">
        <v>12</v>
      </c>
      <c r="B1988" t="s">
        <v>6</v>
      </c>
      <c r="C1988">
        <v>91</v>
      </c>
      <c r="D1988">
        <v>91.112520000000004</v>
      </c>
      <c r="E1988" s="1">
        <v>42064</v>
      </c>
    </row>
    <row r="1989" spans="1:5" x14ac:dyDescent="0.25">
      <c r="A1989" t="s">
        <v>12</v>
      </c>
      <c r="B1989" t="s">
        <v>6</v>
      </c>
      <c r="C1989">
        <v>88.74</v>
      </c>
      <c r="D1989">
        <v>85.698080000000004</v>
      </c>
      <c r="E1989" s="1">
        <v>42095</v>
      </c>
    </row>
    <row r="1990" spans="1:5" x14ac:dyDescent="0.25">
      <c r="A1990" t="s">
        <v>12</v>
      </c>
      <c r="B1990" t="s">
        <v>6</v>
      </c>
      <c r="C1990">
        <v>88.21</v>
      </c>
      <c r="D1990">
        <v>87.527150000000006</v>
      </c>
      <c r="E1990" s="1">
        <v>42125</v>
      </c>
    </row>
    <row r="1991" spans="1:5" x14ac:dyDescent="0.25">
      <c r="A1991" t="s">
        <v>12</v>
      </c>
      <c r="B1991" t="s">
        <v>6</v>
      </c>
      <c r="C1991">
        <v>87.49</v>
      </c>
      <c r="D1991">
        <v>87.319940000000003</v>
      </c>
      <c r="E1991" s="1">
        <v>42156</v>
      </c>
    </row>
    <row r="1992" spans="1:5" x14ac:dyDescent="0.25">
      <c r="A1992" t="s">
        <v>12</v>
      </c>
      <c r="B1992" t="s">
        <v>6</v>
      </c>
      <c r="C1992">
        <v>86.03</v>
      </c>
      <c r="D1992">
        <v>86.168750000000003</v>
      </c>
      <c r="E1992" s="1">
        <v>42186</v>
      </c>
    </row>
    <row r="1993" spans="1:5" x14ac:dyDescent="0.25">
      <c r="A1993" t="s">
        <v>12</v>
      </c>
      <c r="B1993" t="s">
        <v>6</v>
      </c>
      <c r="C1993">
        <v>86.46</v>
      </c>
      <c r="D1993">
        <v>86.481290000000001</v>
      </c>
      <c r="E1993" s="1">
        <v>42217</v>
      </c>
    </row>
    <row r="1994" spans="1:5" x14ac:dyDescent="0.25">
      <c r="A1994" t="s">
        <v>12</v>
      </c>
      <c r="B1994" t="s">
        <v>6</v>
      </c>
      <c r="C1994">
        <v>85.28</v>
      </c>
      <c r="D1994">
        <v>87.08887</v>
      </c>
      <c r="E1994" s="1">
        <v>42248</v>
      </c>
    </row>
    <row r="1995" spans="1:5" x14ac:dyDescent="0.25">
      <c r="A1995" t="s">
        <v>12</v>
      </c>
      <c r="B1995" t="s">
        <v>6</v>
      </c>
      <c r="C1995">
        <v>85.77</v>
      </c>
      <c r="D1995">
        <v>88.001140000000007</v>
      </c>
      <c r="E1995" s="1">
        <v>42278</v>
      </c>
    </row>
    <row r="1996" spans="1:5" x14ac:dyDescent="0.25">
      <c r="A1996" t="s">
        <v>12</v>
      </c>
      <c r="B1996" t="s">
        <v>6</v>
      </c>
      <c r="C1996">
        <v>84.78</v>
      </c>
      <c r="D1996">
        <v>86.356099999999998</v>
      </c>
      <c r="E1996" s="1">
        <v>42309</v>
      </c>
    </row>
    <row r="1997" spans="1:5" x14ac:dyDescent="0.25">
      <c r="A1997" t="s">
        <v>12</v>
      </c>
      <c r="B1997" t="s">
        <v>6</v>
      </c>
      <c r="C1997">
        <v>84.05</v>
      </c>
      <c r="D1997">
        <v>93.736109999999996</v>
      </c>
      <c r="E1997" s="1">
        <v>42339</v>
      </c>
    </row>
    <row r="1998" spans="1:5" x14ac:dyDescent="0.25">
      <c r="A1998" t="s">
        <v>12</v>
      </c>
      <c r="B1998" t="s">
        <v>6</v>
      </c>
      <c r="C1998">
        <v>85.07</v>
      </c>
      <c r="D1998">
        <v>80.675150000000002</v>
      </c>
      <c r="E1998" s="1">
        <v>42370</v>
      </c>
    </row>
    <row r="1999" spans="1:5" x14ac:dyDescent="0.25">
      <c r="A1999" t="s">
        <v>12</v>
      </c>
      <c r="B1999" t="s">
        <v>6</v>
      </c>
      <c r="C1999">
        <v>83.26</v>
      </c>
      <c r="D1999">
        <v>77.604079999999996</v>
      </c>
      <c r="E1999" s="1">
        <v>42401</v>
      </c>
    </row>
    <row r="2000" spans="1:5" x14ac:dyDescent="0.25">
      <c r="A2000" t="s">
        <v>12</v>
      </c>
      <c r="B2000" t="s">
        <v>6</v>
      </c>
      <c r="C2000">
        <v>85.66</v>
      </c>
      <c r="D2000">
        <v>85.364360000000005</v>
      </c>
      <c r="E2000" s="1">
        <v>42430</v>
      </c>
    </row>
    <row r="2001" spans="1:5" x14ac:dyDescent="0.25">
      <c r="A2001" t="s">
        <v>12</v>
      </c>
      <c r="B2001" t="s">
        <v>6</v>
      </c>
      <c r="C2001">
        <v>84.28</v>
      </c>
      <c r="D2001">
        <v>82.005369999999999</v>
      </c>
      <c r="E2001" s="1">
        <v>42461</v>
      </c>
    </row>
    <row r="2002" spans="1:5" x14ac:dyDescent="0.25">
      <c r="A2002" t="s">
        <v>12</v>
      </c>
      <c r="B2002" t="s">
        <v>6</v>
      </c>
      <c r="C2002">
        <v>83.93</v>
      </c>
      <c r="D2002">
        <v>82.176609999999997</v>
      </c>
      <c r="E2002" s="1">
        <v>42491</v>
      </c>
    </row>
    <row r="2003" spans="1:5" x14ac:dyDescent="0.25">
      <c r="A2003" t="s">
        <v>12</v>
      </c>
      <c r="B2003" t="s">
        <v>6</v>
      </c>
      <c r="C2003">
        <v>83.48</v>
      </c>
      <c r="D2003">
        <v>84.886889999999994</v>
      </c>
      <c r="E2003" s="1">
        <v>42522</v>
      </c>
    </row>
    <row r="2004" spans="1:5" x14ac:dyDescent="0.25">
      <c r="A2004" t="s">
        <v>12</v>
      </c>
      <c r="B2004" t="s">
        <v>6</v>
      </c>
      <c r="C2004">
        <v>85.27</v>
      </c>
      <c r="D2004">
        <v>84.246610000000004</v>
      </c>
      <c r="E2004" s="1">
        <v>42552</v>
      </c>
    </row>
    <row r="2005" spans="1:5" x14ac:dyDescent="0.25">
      <c r="A2005" t="s">
        <v>12</v>
      </c>
      <c r="B2005" t="s">
        <v>6</v>
      </c>
      <c r="C2005">
        <v>83.92</v>
      </c>
      <c r="D2005">
        <v>85.326409999999996</v>
      </c>
      <c r="E2005" s="1">
        <v>42583</v>
      </c>
    </row>
    <row r="2006" spans="1:5" x14ac:dyDescent="0.25">
      <c r="A2006" t="s">
        <v>12</v>
      </c>
      <c r="B2006" t="s">
        <v>6</v>
      </c>
      <c r="C2006">
        <v>84.34</v>
      </c>
      <c r="D2006">
        <v>86.069230000000005</v>
      </c>
      <c r="E2006" s="1">
        <v>42614</v>
      </c>
    </row>
    <row r="2007" spans="1:5" x14ac:dyDescent="0.25">
      <c r="A2007" t="s">
        <v>12</v>
      </c>
      <c r="B2007" t="s">
        <v>6</v>
      </c>
      <c r="C2007">
        <v>83.13</v>
      </c>
      <c r="D2007">
        <v>84.263149999999996</v>
      </c>
      <c r="E2007" s="1">
        <v>42644</v>
      </c>
    </row>
    <row r="2008" spans="1:5" x14ac:dyDescent="0.25">
      <c r="A2008" t="s">
        <v>12</v>
      </c>
      <c r="B2008" t="s">
        <v>6</v>
      </c>
      <c r="C2008">
        <v>82.23</v>
      </c>
      <c r="D2008">
        <v>84.931359999999998</v>
      </c>
      <c r="E2008" s="1">
        <v>42675</v>
      </c>
    </row>
    <row r="2009" spans="1:5" x14ac:dyDescent="0.25">
      <c r="A2009" t="s">
        <v>12</v>
      </c>
      <c r="B2009" t="s">
        <v>6</v>
      </c>
      <c r="C2009">
        <v>82.46</v>
      </c>
      <c r="D2009">
        <v>91.383390000000006</v>
      </c>
      <c r="E2009" s="1">
        <v>42705</v>
      </c>
    </row>
    <row r="2010" spans="1:5" x14ac:dyDescent="0.25">
      <c r="A2010" t="s">
        <v>12</v>
      </c>
      <c r="B2010" t="s">
        <v>6</v>
      </c>
      <c r="C2010">
        <v>83.32</v>
      </c>
      <c r="D2010">
        <v>79.35566</v>
      </c>
      <c r="E2010" s="1">
        <v>42736</v>
      </c>
    </row>
    <row r="2011" spans="1:5" x14ac:dyDescent="0.25">
      <c r="A2011" t="s">
        <v>12</v>
      </c>
      <c r="B2011" t="s">
        <v>6</v>
      </c>
      <c r="C2011">
        <v>84.31</v>
      </c>
      <c r="D2011">
        <v>75.919539999999998</v>
      </c>
      <c r="E2011" s="1">
        <v>42767</v>
      </c>
    </row>
    <row r="2012" spans="1:5" x14ac:dyDescent="0.25">
      <c r="A2012" t="s">
        <v>12</v>
      </c>
      <c r="B2012" t="s">
        <v>6</v>
      </c>
      <c r="C2012">
        <v>81.45</v>
      </c>
      <c r="D2012">
        <v>82.267920000000004</v>
      </c>
      <c r="E2012" s="1">
        <v>42795</v>
      </c>
    </row>
    <row r="2013" spans="1:5" x14ac:dyDescent="0.25">
      <c r="A2013" t="s">
        <v>12</v>
      </c>
      <c r="B2013" t="s">
        <v>6</v>
      </c>
      <c r="C2013">
        <v>83.68</v>
      </c>
      <c r="D2013">
        <v>79.391509999999997</v>
      </c>
      <c r="E2013" s="1">
        <v>42826</v>
      </c>
    </row>
    <row r="2014" spans="1:5" x14ac:dyDescent="0.25">
      <c r="A2014" t="s">
        <v>12</v>
      </c>
      <c r="B2014" t="s">
        <v>6</v>
      </c>
      <c r="C2014">
        <v>83.54</v>
      </c>
      <c r="D2014">
        <v>83.713740000000001</v>
      </c>
      <c r="E2014" s="1">
        <v>42856</v>
      </c>
    </row>
    <row r="2015" spans="1:5" x14ac:dyDescent="0.25">
      <c r="A2015" t="s">
        <v>12</v>
      </c>
      <c r="B2015" t="s">
        <v>6</v>
      </c>
      <c r="C2015">
        <v>85.21</v>
      </c>
      <c r="D2015">
        <v>85.548609999999996</v>
      </c>
      <c r="E2015" s="1">
        <v>42887</v>
      </c>
    </row>
    <row r="2016" spans="1:5" x14ac:dyDescent="0.25">
      <c r="A2016" t="s">
        <v>12</v>
      </c>
      <c r="B2016" t="s">
        <v>6</v>
      </c>
      <c r="C2016">
        <v>85.67</v>
      </c>
      <c r="D2016">
        <v>84.133290000000002</v>
      </c>
      <c r="E2016" s="1">
        <v>42917</v>
      </c>
    </row>
    <row r="2017" spans="1:5" x14ac:dyDescent="0.25">
      <c r="A2017" t="s">
        <v>12</v>
      </c>
      <c r="B2017" t="s">
        <v>6</v>
      </c>
      <c r="C2017">
        <v>84.17</v>
      </c>
      <c r="D2017">
        <v>85.763649999999998</v>
      </c>
      <c r="E2017" s="1">
        <v>42948</v>
      </c>
    </row>
    <row r="2018" spans="1:5" x14ac:dyDescent="0.25">
      <c r="A2018" t="s">
        <v>12</v>
      </c>
      <c r="B2018" t="s">
        <v>6</v>
      </c>
      <c r="C2018">
        <v>83.01</v>
      </c>
      <c r="D2018">
        <v>84.077839999999995</v>
      </c>
      <c r="E2018" s="1">
        <v>42979</v>
      </c>
    </row>
    <row r="2019" spans="1:5" x14ac:dyDescent="0.25">
      <c r="A2019" t="s">
        <v>12</v>
      </c>
      <c r="B2019" t="s">
        <v>6</v>
      </c>
      <c r="C2019">
        <v>83.06</v>
      </c>
      <c r="D2019">
        <v>85.088509999999999</v>
      </c>
      <c r="E2019" s="1">
        <v>43009</v>
      </c>
    </row>
    <row r="2020" spans="1:5" x14ac:dyDescent="0.25">
      <c r="A2020" t="s">
        <v>12</v>
      </c>
      <c r="B2020" t="s">
        <v>6</v>
      </c>
      <c r="C2020">
        <v>83.18</v>
      </c>
      <c r="D2020">
        <v>85.698700000000002</v>
      </c>
      <c r="E2020" s="1">
        <v>43040</v>
      </c>
    </row>
    <row r="2021" spans="1:5" x14ac:dyDescent="0.25">
      <c r="A2021" t="s">
        <v>12</v>
      </c>
      <c r="B2021" t="s">
        <v>6</v>
      </c>
      <c r="C2021">
        <v>84.37</v>
      </c>
      <c r="D2021">
        <v>93.091949999999997</v>
      </c>
      <c r="E2021" s="1">
        <v>43070</v>
      </c>
    </row>
    <row r="2022" spans="1:5" x14ac:dyDescent="0.25">
      <c r="A2022" t="s">
        <v>12</v>
      </c>
      <c r="B2022" t="s">
        <v>6</v>
      </c>
      <c r="C2022">
        <v>83.26</v>
      </c>
      <c r="D2022">
        <v>79.841620000000006</v>
      </c>
      <c r="E2022" s="1">
        <v>43101</v>
      </c>
    </row>
    <row r="2023" spans="1:5" x14ac:dyDescent="0.25">
      <c r="A2023" t="s">
        <v>12</v>
      </c>
      <c r="B2023" t="s">
        <v>6</v>
      </c>
      <c r="C2023">
        <v>83.57</v>
      </c>
      <c r="D2023">
        <v>75.20975</v>
      </c>
      <c r="E2023" s="1">
        <v>43132</v>
      </c>
    </row>
    <row r="2024" spans="1:5" x14ac:dyDescent="0.25">
      <c r="A2024" t="s">
        <v>12</v>
      </c>
      <c r="B2024" t="s">
        <v>6</v>
      </c>
      <c r="C2024">
        <v>84.46</v>
      </c>
      <c r="D2024">
        <v>83.448049999999995</v>
      </c>
      <c r="E2024" s="1">
        <v>43160</v>
      </c>
    </row>
    <row r="2025" spans="1:5" x14ac:dyDescent="0.25">
      <c r="A2025" t="s">
        <v>12</v>
      </c>
      <c r="B2025" t="s">
        <v>6</v>
      </c>
      <c r="C2025">
        <v>85.15</v>
      </c>
      <c r="D2025">
        <v>82.096190000000007</v>
      </c>
      <c r="E2025" s="1">
        <v>43191</v>
      </c>
    </row>
    <row r="2026" spans="1:5" x14ac:dyDescent="0.25">
      <c r="A2026" t="s">
        <v>12</v>
      </c>
      <c r="B2026" t="s">
        <v>6</v>
      </c>
      <c r="C2026">
        <v>81.84</v>
      </c>
      <c r="D2026">
        <v>82.117360000000005</v>
      </c>
      <c r="E2026" s="1">
        <v>43221</v>
      </c>
    </row>
    <row r="2027" spans="1:5" x14ac:dyDescent="0.25">
      <c r="A2027" t="s">
        <v>12</v>
      </c>
      <c r="B2027" t="s">
        <v>6</v>
      </c>
      <c r="C2027">
        <v>87.36</v>
      </c>
      <c r="D2027">
        <v>87.174819999999997</v>
      </c>
      <c r="E2027" s="1">
        <v>43252</v>
      </c>
    </row>
    <row r="2028" spans="1:5" x14ac:dyDescent="0.25">
      <c r="A2028" t="s">
        <v>12</v>
      </c>
      <c r="B2028" t="s">
        <v>6</v>
      </c>
      <c r="C2028">
        <v>85.82</v>
      </c>
      <c r="D2028">
        <v>85.311059999999998</v>
      </c>
      <c r="E2028" s="1">
        <v>43282</v>
      </c>
    </row>
    <row r="2029" spans="1:5" x14ac:dyDescent="0.25">
      <c r="A2029" t="s">
        <v>12</v>
      </c>
      <c r="B2029" t="s">
        <v>6</v>
      </c>
      <c r="C2029">
        <v>86.7</v>
      </c>
      <c r="D2029">
        <v>88.508920000000003</v>
      </c>
      <c r="E2029" s="1">
        <v>43313</v>
      </c>
    </row>
    <row r="2030" spans="1:5" x14ac:dyDescent="0.25">
      <c r="A2030" t="s">
        <v>12</v>
      </c>
      <c r="B2030" t="s">
        <v>6</v>
      </c>
      <c r="C2030">
        <v>87.03</v>
      </c>
      <c r="D2030">
        <v>87.130179999999996</v>
      </c>
      <c r="E2030" s="1">
        <v>43344</v>
      </c>
    </row>
    <row r="2031" spans="1:5" x14ac:dyDescent="0.25">
      <c r="A2031" t="s">
        <v>12</v>
      </c>
      <c r="B2031" t="s">
        <v>6</v>
      </c>
      <c r="C2031">
        <v>86.17</v>
      </c>
      <c r="D2031">
        <v>88.820430000000002</v>
      </c>
      <c r="E2031" s="1">
        <v>43374</v>
      </c>
    </row>
    <row r="2032" spans="1:5" x14ac:dyDescent="0.25">
      <c r="A2032" t="s">
        <v>12</v>
      </c>
      <c r="B2032" t="s">
        <v>6</v>
      </c>
      <c r="C2032">
        <v>86.95</v>
      </c>
      <c r="D2032">
        <v>89.925269999999998</v>
      </c>
      <c r="E2032" s="1">
        <v>43405</v>
      </c>
    </row>
    <row r="2033" spans="1:5" x14ac:dyDescent="0.25">
      <c r="A2033" t="s">
        <v>12</v>
      </c>
      <c r="B2033" t="s">
        <v>6</v>
      </c>
      <c r="C2033">
        <v>87.66</v>
      </c>
      <c r="D2033">
        <v>96.220100000000002</v>
      </c>
      <c r="E2033" s="1">
        <v>43435</v>
      </c>
    </row>
    <row r="2034" spans="1:5" x14ac:dyDescent="0.25">
      <c r="A2034" t="s">
        <v>12</v>
      </c>
      <c r="B2034" t="s">
        <v>6</v>
      </c>
      <c r="C2034">
        <v>86.82</v>
      </c>
      <c r="D2034">
        <v>83.471100000000007</v>
      </c>
      <c r="E2034" s="1">
        <v>43466</v>
      </c>
    </row>
    <row r="2035" spans="1:5" x14ac:dyDescent="0.25">
      <c r="A2035" t="s">
        <v>12</v>
      </c>
      <c r="B2035" t="s">
        <v>6</v>
      </c>
      <c r="C2035">
        <v>87.83</v>
      </c>
      <c r="D2035">
        <v>81.373580000000004</v>
      </c>
      <c r="E2035" s="1">
        <v>43497</v>
      </c>
    </row>
    <row r="2036" spans="1:5" x14ac:dyDescent="0.25">
      <c r="A2036" t="s">
        <v>12</v>
      </c>
      <c r="B2036" t="s">
        <v>6</v>
      </c>
      <c r="C2036">
        <v>87.52</v>
      </c>
      <c r="D2036">
        <v>84.604929999999996</v>
      </c>
      <c r="E2036" s="1">
        <v>43525</v>
      </c>
    </row>
    <row r="2037" spans="1:5" x14ac:dyDescent="0.25">
      <c r="A2037" t="s">
        <v>12</v>
      </c>
      <c r="B2037" t="s">
        <v>6</v>
      </c>
      <c r="C2037">
        <v>87.59</v>
      </c>
      <c r="D2037">
        <v>83.978350000000006</v>
      </c>
      <c r="E2037" s="1">
        <v>43556</v>
      </c>
    </row>
    <row r="2038" spans="1:5" x14ac:dyDescent="0.25">
      <c r="A2038" t="s">
        <v>12</v>
      </c>
      <c r="B2038" t="s">
        <v>6</v>
      </c>
      <c r="C2038">
        <v>88.72</v>
      </c>
      <c r="D2038">
        <v>88.950339999999997</v>
      </c>
      <c r="E2038" s="1">
        <v>43586</v>
      </c>
    </row>
    <row r="2039" spans="1:5" x14ac:dyDescent="0.25">
      <c r="A2039" t="s">
        <v>12</v>
      </c>
      <c r="B2039" t="s">
        <v>6</v>
      </c>
      <c r="C2039">
        <v>86.97</v>
      </c>
      <c r="D2039">
        <v>85.978819999999999</v>
      </c>
      <c r="E2039" s="1">
        <v>43617</v>
      </c>
    </row>
    <row r="2040" spans="1:5" x14ac:dyDescent="0.25">
      <c r="A2040" t="s">
        <v>12</v>
      </c>
      <c r="B2040" t="s">
        <v>6</v>
      </c>
      <c r="C2040">
        <v>88.02</v>
      </c>
      <c r="D2040">
        <v>88.264930000000007</v>
      </c>
      <c r="E2040" s="1">
        <v>43647</v>
      </c>
    </row>
    <row r="2041" spans="1:5" x14ac:dyDescent="0.25">
      <c r="A2041" t="s">
        <v>12</v>
      </c>
      <c r="B2041" t="s">
        <v>6</v>
      </c>
      <c r="C2041">
        <v>87.37</v>
      </c>
      <c r="D2041">
        <v>88.490539999999996</v>
      </c>
      <c r="E2041" s="1">
        <v>43678</v>
      </c>
    </row>
    <row r="2042" spans="1:5" x14ac:dyDescent="0.25">
      <c r="A2042" t="s">
        <v>12</v>
      </c>
      <c r="B2042" t="s">
        <v>6</v>
      </c>
      <c r="C2042">
        <v>89.81</v>
      </c>
      <c r="D2042">
        <v>90.254490000000004</v>
      </c>
      <c r="E2042" s="1">
        <v>43709</v>
      </c>
    </row>
    <row r="2043" spans="1:5" x14ac:dyDescent="0.25">
      <c r="A2043" t="s">
        <v>12</v>
      </c>
      <c r="B2043" t="s">
        <v>6</v>
      </c>
      <c r="C2043">
        <v>89.51</v>
      </c>
      <c r="D2043">
        <v>92.383319999999998</v>
      </c>
      <c r="E2043" s="1">
        <v>43739</v>
      </c>
    </row>
    <row r="2044" spans="1:5" x14ac:dyDescent="0.25">
      <c r="A2044" t="s">
        <v>12</v>
      </c>
      <c r="B2044" t="s">
        <v>6</v>
      </c>
      <c r="C2044">
        <v>89.19</v>
      </c>
      <c r="D2044">
        <v>91.607699999999994</v>
      </c>
      <c r="E2044" s="1">
        <v>43770</v>
      </c>
    </row>
    <row r="2045" spans="1:5" x14ac:dyDescent="0.25">
      <c r="A2045" t="s">
        <v>12</v>
      </c>
      <c r="B2045" t="s">
        <v>6</v>
      </c>
      <c r="C2045">
        <v>89.74</v>
      </c>
      <c r="D2045">
        <v>99.721400000000003</v>
      </c>
      <c r="E2045" s="1">
        <v>43800</v>
      </c>
    </row>
    <row r="2046" spans="1:5" x14ac:dyDescent="0.25">
      <c r="A2046" t="s">
        <v>12</v>
      </c>
      <c r="B2046" t="s">
        <v>6</v>
      </c>
      <c r="C2046">
        <v>89.61</v>
      </c>
      <c r="D2046">
        <v>86.204530000000005</v>
      </c>
      <c r="E2046" s="1">
        <v>43831</v>
      </c>
    </row>
    <row r="2047" spans="1:5" x14ac:dyDescent="0.25">
      <c r="A2047" t="s">
        <v>12</v>
      </c>
      <c r="B2047" t="s">
        <v>6</v>
      </c>
      <c r="C2047">
        <v>88.61</v>
      </c>
      <c r="D2047">
        <v>82.024029999999996</v>
      </c>
      <c r="E2047" s="1">
        <v>43862</v>
      </c>
    </row>
    <row r="2048" spans="1:5" x14ac:dyDescent="0.25">
      <c r="A2048" t="s">
        <v>12</v>
      </c>
      <c r="B2048" t="s">
        <v>6</v>
      </c>
      <c r="C2048">
        <v>82.98</v>
      </c>
      <c r="D2048">
        <v>82.970359999999999</v>
      </c>
      <c r="E2048" s="1">
        <v>43891</v>
      </c>
    </row>
    <row r="2049" spans="1:5" x14ac:dyDescent="0.25">
      <c r="A2049" t="s">
        <v>12</v>
      </c>
      <c r="B2049" t="s">
        <v>6</v>
      </c>
      <c r="C2049">
        <v>73.53</v>
      </c>
      <c r="D2049">
        <v>70.436139999999995</v>
      </c>
      <c r="E2049" s="1">
        <v>43922</v>
      </c>
    </row>
    <row r="2050" spans="1:5" x14ac:dyDescent="0.25">
      <c r="A2050" t="s">
        <v>12</v>
      </c>
      <c r="B2050" t="s">
        <v>6</v>
      </c>
      <c r="C2050">
        <v>72.02</v>
      </c>
      <c r="D2050">
        <v>71.076599999999999</v>
      </c>
      <c r="E2050" s="1">
        <v>43952</v>
      </c>
    </row>
    <row r="2051" spans="1:5" x14ac:dyDescent="0.25">
      <c r="A2051" t="s">
        <v>12</v>
      </c>
      <c r="B2051" t="s">
        <v>6</v>
      </c>
      <c r="C2051">
        <v>76.2</v>
      </c>
      <c r="D2051">
        <v>76.446950000000001</v>
      </c>
      <c r="E2051" s="1">
        <v>43983</v>
      </c>
    </row>
    <row r="2052" spans="1:5" x14ac:dyDescent="0.25">
      <c r="A2052" t="s">
        <v>12</v>
      </c>
      <c r="B2052" t="s">
        <v>6</v>
      </c>
      <c r="C2052">
        <v>78.14</v>
      </c>
      <c r="D2052">
        <v>78.72475</v>
      </c>
      <c r="E2052" s="1">
        <v>44013</v>
      </c>
    </row>
    <row r="2053" spans="1:5" x14ac:dyDescent="0.25">
      <c r="A2053" t="s">
        <v>12</v>
      </c>
      <c r="B2053" t="s">
        <v>6</v>
      </c>
      <c r="C2053">
        <v>79.84</v>
      </c>
      <c r="D2053">
        <v>79.874709999999993</v>
      </c>
      <c r="E2053" s="1">
        <v>44044</v>
      </c>
    </row>
    <row r="2054" spans="1:5" x14ac:dyDescent="0.25">
      <c r="A2054" t="s">
        <v>12</v>
      </c>
      <c r="B2054" t="s">
        <v>6</v>
      </c>
      <c r="C2054">
        <v>82.49</v>
      </c>
      <c r="D2054">
        <v>83.818449999999999</v>
      </c>
      <c r="E2054" s="1">
        <v>44075</v>
      </c>
    </row>
    <row r="2055" spans="1:5" x14ac:dyDescent="0.25">
      <c r="A2055" t="s">
        <v>12</v>
      </c>
      <c r="B2055" t="s">
        <v>6</v>
      </c>
      <c r="C2055">
        <v>83.49</v>
      </c>
      <c r="D2055">
        <v>85.429000000000002</v>
      </c>
      <c r="E2055" s="1">
        <v>44105</v>
      </c>
    </row>
    <row r="2056" spans="1:5" x14ac:dyDescent="0.25">
      <c r="A2056" t="s">
        <v>12</v>
      </c>
      <c r="B2056" t="s">
        <v>6</v>
      </c>
      <c r="C2056">
        <v>85.55</v>
      </c>
      <c r="D2056">
        <v>87.512230000000002</v>
      </c>
      <c r="E2056" s="1">
        <v>44136</v>
      </c>
    </row>
    <row r="2057" spans="1:5" x14ac:dyDescent="0.25">
      <c r="A2057" t="s">
        <v>12</v>
      </c>
      <c r="B2057" t="s">
        <v>6</v>
      </c>
      <c r="C2057">
        <v>85.65</v>
      </c>
      <c r="D2057">
        <v>96.230909999999994</v>
      </c>
      <c r="E2057" s="1">
        <v>44166</v>
      </c>
    </row>
    <row r="2058" spans="1:5" x14ac:dyDescent="0.25">
      <c r="A2058" t="s">
        <v>12</v>
      </c>
      <c r="B2058" t="s">
        <v>6</v>
      </c>
      <c r="C2058">
        <v>86.37</v>
      </c>
      <c r="D2058">
        <v>81.950059999999993</v>
      </c>
      <c r="E2058" s="1">
        <v>44197</v>
      </c>
    </row>
    <row r="2059" spans="1:5" x14ac:dyDescent="0.25">
      <c r="A2059" t="s">
        <v>12</v>
      </c>
      <c r="B2059" t="s">
        <v>6</v>
      </c>
      <c r="C2059">
        <v>90.51</v>
      </c>
      <c r="D2059">
        <v>81.415049999999994</v>
      </c>
      <c r="E2059" s="1">
        <v>44228</v>
      </c>
    </row>
    <row r="2060" spans="1:5" x14ac:dyDescent="0.25">
      <c r="A2060" t="s">
        <v>12</v>
      </c>
      <c r="B2060" t="s">
        <v>6</v>
      </c>
      <c r="C2060">
        <v>86.23</v>
      </c>
      <c r="D2060">
        <v>86.829819999999998</v>
      </c>
      <c r="E2060" s="1">
        <v>44256</v>
      </c>
    </row>
    <row r="2061" spans="1:5" x14ac:dyDescent="0.25">
      <c r="A2061" t="s">
        <v>12</v>
      </c>
      <c r="B2061" t="s">
        <v>6</v>
      </c>
      <c r="C2061">
        <v>88.56</v>
      </c>
      <c r="D2061">
        <v>85.031899999999993</v>
      </c>
      <c r="E2061" s="1">
        <v>44287</v>
      </c>
    </row>
    <row r="2062" spans="1:5" x14ac:dyDescent="0.25">
      <c r="A2062" t="s">
        <v>12</v>
      </c>
      <c r="B2062" t="s">
        <v>6</v>
      </c>
      <c r="C2062">
        <v>90.52</v>
      </c>
      <c r="D2062">
        <v>88.611320000000006</v>
      </c>
      <c r="E2062" s="1">
        <v>44317</v>
      </c>
    </row>
    <row r="2063" spans="1:5" x14ac:dyDescent="0.25">
      <c r="A2063" t="s">
        <v>12</v>
      </c>
      <c r="B2063" t="s">
        <v>6</v>
      </c>
      <c r="C2063">
        <v>91.24</v>
      </c>
      <c r="D2063">
        <v>91.852090000000004</v>
      </c>
      <c r="E2063" s="1">
        <v>44348</v>
      </c>
    </row>
    <row r="2064" spans="1:5" x14ac:dyDescent="0.25">
      <c r="A2064" t="s">
        <v>12</v>
      </c>
      <c r="B2064" t="s">
        <v>6</v>
      </c>
      <c r="C2064">
        <v>92.22</v>
      </c>
      <c r="D2064">
        <v>92.205560000000006</v>
      </c>
      <c r="E2064" s="1">
        <v>44378</v>
      </c>
    </row>
    <row r="2065" spans="1:5" x14ac:dyDescent="0.25">
      <c r="A2065" t="s">
        <v>12</v>
      </c>
      <c r="B2065" t="s">
        <v>6</v>
      </c>
      <c r="C2065">
        <v>93.06</v>
      </c>
      <c r="D2065">
        <v>94.031210000000002</v>
      </c>
      <c r="E2065" s="1">
        <v>44409</v>
      </c>
    </row>
    <row r="2066" spans="1:5" x14ac:dyDescent="0.25">
      <c r="A2066" t="s">
        <v>12</v>
      </c>
      <c r="B2066" t="s">
        <v>6</v>
      </c>
      <c r="C2066">
        <v>91.48</v>
      </c>
      <c r="D2066">
        <v>92.560550000000006</v>
      </c>
      <c r="E2066" s="1">
        <v>44440</v>
      </c>
    </row>
    <row r="2067" spans="1:5" x14ac:dyDescent="0.25">
      <c r="A2067" t="s">
        <v>12</v>
      </c>
      <c r="B2067" t="s">
        <v>6</v>
      </c>
      <c r="C2067">
        <v>90.67</v>
      </c>
      <c r="D2067">
        <v>92.243930000000006</v>
      </c>
      <c r="E2067" s="1">
        <v>44470</v>
      </c>
    </row>
    <row r="2068" spans="1:5" x14ac:dyDescent="0.25">
      <c r="A2068" t="s">
        <v>12</v>
      </c>
      <c r="B2068" t="s">
        <v>6</v>
      </c>
      <c r="C2068">
        <v>94.77</v>
      </c>
      <c r="D2068">
        <v>97.936199999999999</v>
      </c>
      <c r="E2068" s="1">
        <v>44501</v>
      </c>
    </row>
    <row r="2069" spans="1:5" x14ac:dyDescent="0.25">
      <c r="A2069" t="s">
        <v>12</v>
      </c>
      <c r="B2069" t="s">
        <v>6</v>
      </c>
      <c r="C2069">
        <v>97.33</v>
      </c>
      <c r="D2069">
        <v>109.55959</v>
      </c>
      <c r="E2069" s="1">
        <v>44531</v>
      </c>
    </row>
    <row r="2070" spans="1:5" x14ac:dyDescent="0.25">
      <c r="A2070" t="s">
        <v>12</v>
      </c>
      <c r="B2070" t="s">
        <v>6</v>
      </c>
      <c r="C2070">
        <v>97.44</v>
      </c>
      <c r="D2070">
        <v>91.866860000000003</v>
      </c>
      <c r="E2070" s="1">
        <v>44562</v>
      </c>
    </row>
    <row r="2071" spans="1:5" x14ac:dyDescent="0.25">
      <c r="A2071" t="s">
        <v>12</v>
      </c>
      <c r="B2071" t="s">
        <v>6</v>
      </c>
      <c r="C2071">
        <v>98.08</v>
      </c>
      <c r="D2071">
        <v>88.293620000000004</v>
      </c>
      <c r="E2071" s="1">
        <v>44593</v>
      </c>
    </row>
    <row r="2072" spans="1:5" x14ac:dyDescent="0.25">
      <c r="A2072" t="s">
        <v>12</v>
      </c>
      <c r="B2072" t="s">
        <v>6</v>
      </c>
      <c r="C2072">
        <v>97.41</v>
      </c>
      <c r="D2072">
        <v>98.323830000000001</v>
      </c>
      <c r="E2072" s="1">
        <v>44621</v>
      </c>
    </row>
    <row r="2073" spans="1:5" x14ac:dyDescent="0.25">
      <c r="A2073" t="s">
        <v>12</v>
      </c>
      <c r="B2073" t="s">
        <v>6</v>
      </c>
      <c r="C2073">
        <v>98.18</v>
      </c>
      <c r="D2073">
        <v>93.525689999999997</v>
      </c>
      <c r="E2073" s="1">
        <v>44652</v>
      </c>
    </row>
    <row r="2074" spans="1:5" x14ac:dyDescent="0.25">
      <c r="A2074" t="s">
        <v>12</v>
      </c>
      <c r="B2074" t="s">
        <v>6</v>
      </c>
      <c r="C2074">
        <v>99.22</v>
      </c>
      <c r="D2074">
        <v>98.064509999999999</v>
      </c>
      <c r="E2074" s="1">
        <v>44682</v>
      </c>
    </row>
    <row r="2075" spans="1:5" x14ac:dyDescent="0.25">
      <c r="A2075" t="s">
        <v>12</v>
      </c>
      <c r="B2075" t="s">
        <v>6</v>
      </c>
      <c r="C2075">
        <v>99.17</v>
      </c>
      <c r="D2075">
        <v>99.380170000000007</v>
      </c>
      <c r="E2075" s="1">
        <v>44713</v>
      </c>
    </row>
    <row r="2076" spans="1:5" x14ac:dyDescent="0.25">
      <c r="A2076" t="s">
        <v>12</v>
      </c>
      <c r="B2076" t="s">
        <v>6</v>
      </c>
      <c r="C2076">
        <v>100.31</v>
      </c>
      <c r="D2076">
        <v>99.807640000000006</v>
      </c>
      <c r="E2076" s="1">
        <v>44743</v>
      </c>
    </row>
    <row r="2077" spans="1:5" x14ac:dyDescent="0.25">
      <c r="A2077" t="s">
        <v>12</v>
      </c>
      <c r="B2077" t="s">
        <v>6</v>
      </c>
      <c r="C2077">
        <v>102.48</v>
      </c>
      <c r="D2077">
        <v>104.23665</v>
      </c>
      <c r="E2077" s="1">
        <v>44774</v>
      </c>
    </row>
    <row r="2078" spans="1:5" x14ac:dyDescent="0.25">
      <c r="A2078" t="s">
        <v>12</v>
      </c>
      <c r="B2078" t="s">
        <v>6</v>
      </c>
      <c r="C2078">
        <v>101.97</v>
      </c>
      <c r="D2078">
        <v>103.37774</v>
      </c>
      <c r="E2078" s="1">
        <v>44805</v>
      </c>
    </row>
    <row r="2079" spans="1:5" x14ac:dyDescent="0.25">
      <c r="A2079" t="s">
        <v>12</v>
      </c>
      <c r="B2079" t="s">
        <v>6</v>
      </c>
      <c r="C2079">
        <v>102.97</v>
      </c>
      <c r="D2079">
        <v>104.09349</v>
      </c>
      <c r="E2079" s="1">
        <v>44835</v>
      </c>
    </row>
    <row r="2080" spans="1:5" x14ac:dyDescent="0.25">
      <c r="A2080" t="s">
        <v>12</v>
      </c>
      <c r="B2080" t="s">
        <v>6</v>
      </c>
      <c r="C2080">
        <v>101.54</v>
      </c>
      <c r="D2080">
        <v>105.43322000000001</v>
      </c>
      <c r="E2080" s="1">
        <v>44866</v>
      </c>
    </row>
    <row r="2081" spans="1:5" x14ac:dyDescent="0.25">
      <c r="A2081" t="s">
        <v>12</v>
      </c>
      <c r="B2081" t="s">
        <v>6</v>
      </c>
      <c r="C2081">
        <v>101.74</v>
      </c>
      <c r="D2081">
        <v>113.59657</v>
      </c>
      <c r="E2081" s="1">
        <v>44896</v>
      </c>
    </row>
    <row r="2082" spans="1:5" x14ac:dyDescent="0.25">
      <c r="A2082" t="s">
        <v>12</v>
      </c>
      <c r="B2082" t="s">
        <v>6</v>
      </c>
      <c r="C2082">
        <v>98.99</v>
      </c>
      <c r="D2082">
        <v>94.398020000000002</v>
      </c>
      <c r="E2082" s="1">
        <v>44927</v>
      </c>
    </row>
    <row r="2083" spans="1:5" x14ac:dyDescent="0.25">
      <c r="A2083" t="s">
        <v>12</v>
      </c>
      <c r="B2083" t="s">
        <v>6</v>
      </c>
      <c r="C2083">
        <v>99.93</v>
      </c>
      <c r="D2083">
        <v>89.988129999999998</v>
      </c>
      <c r="E2083" s="1">
        <v>44958</v>
      </c>
    </row>
    <row r="2084" spans="1:5" x14ac:dyDescent="0.25">
      <c r="A2084" t="s">
        <v>12</v>
      </c>
      <c r="B2084" t="s">
        <v>6</v>
      </c>
      <c r="C2084">
        <v>100.98</v>
      </c>
      <c r="D2084">
        <v>102.06917</v>
      </c>
      <c r="E2084" s="1">
        <v>44986</v>
      </c>
    </row>
    <row r="2085" spans="1:5" x14ac:dyDescent="0.25">
      <c r="A2085" t="s">
        <v>12</v>
      </c>
      <c r="B2085" t="s">
        <v>6</v>
      </c>
      <c r="C2085">
        <v>99.23</v>
      </c>
      <c r="D2085">
        <v>93.549530000000004</v>
      </c>
      <c r="E2085" s="1">
        <v>45017</v>
      </c>
    </row>
    <row r="2086" spans="1:5" x14ac:dyDescent="0.25">
      <c r="A2086" t="s">
        <v>12</v>
      </c>
      <c r="B2086" t="s">
        <v>6</v>
      </c>
      <c r="C2086">
        <v>98.64</v>
      </c>
      <c r="D2086">
        <v>98.043049999999994</v>
      </c>
      <c r="E2086" s="1">
        <v>45047</v>
      </c>
    </row>
    <row r="2087" spans="1:5" x14ac:dyDescent="0.25">
      <c r="A2087" t="s">
        <v>12</v>
      </c>
      <c r="B2087" t="s">
        <v>6</v>
      </c>
      <c r="C2087">
        <v>98.54</v>
      </c>
      <c r="D2087">
        <v>98.944770000000005</v>
      </c>
      <c r="E2087" s="1">
        <v>45078</v>
      </c>
    </row>
    <row r="2088" spans="1:5" x14ac:dyDescent="0.25">
      <c r="A2088" t="s">
        <v>12</v>
      </c>
      <c r="B2088" t="s">
        <v>6</v>
      </c>
      <c r="C2088">
        <v>99.21</v>
      </c>
      <c r="D2088">
        <v>98.141469999999998</v>
      </c>
      <c r="E2088" s="1">
        <v>45108</v>
      </c>
    </row>
    <row r="2089" spans="1:5" x14ac:dyDescent="0.25">
      <c r="A2089" t="s">
        <v>12</v>
      </c>
      <c r="B2089" t="s">
        <v>6</v>
      </c>
      <c r="C2089">
        <v>99.2</v>
      </c>
      <c r="D2089">
        <v>101.15075</v>
      </c>
      <c r="E2089" s="1">
        <v>45139</v>
      </c>
    </row>
    <row r="2090" spans="1:5" x14ac:dyDescent="0.25">
      <c r="A2090" t="s">
        <v>12</v>
      </c>
      <c r="B2090" t="s">
        <v>6</v>
      </c>
      <c r="C2090">
        <v>98.06</v>
      </c>
      <c r="D2090">
        <v>98.59581</v>
      </c>
      <c r="E2090" s="1">
        <v>45170</v>
      </c>
    </row>
    <row r="2091" spans="1:5" x14ac:dyDescent="0.25">
      <c r="A2091" t="s">
        <v>12</v>
      </c>
      <c r="B2091" t="s">
        <v>6</v>
      </c>
      <c r="C2091">
        <v>98.47</v>
      </c>
      <c r="D2091">
        <v>100.62967999999999</v>
      </c>
      <c r="E2091" s="1">
        <v>45200</v>
      </c>
    </row>
    <row r="2092" spans="1:5" x14ac:dyDescent="0.25">
      <c r="A2092" t="s">
        <v>12</v>
      </c>
      <c r="B2092" t="s">
        <v>6</v>
      </c>
      <c r="C2092">
        <v>100.73</v>
      </c>
      <c r="D2092">
        <v>104.31301999999999</v>
      </c>
      <c r="E2092" s="1">
        <v>45231</v>
      </c>
    </row>
    <row r="2093" spans="1:5" x14ac:dyDescent="0.25">
      <c r="A2093" t="s">
        <v>12</v>
      </c>
      <c r="B2093" t="s">
        <v>6</v>
      </c>
      <c r="C2093">
        <v>100.71</v>
      </c>
      <c r="D2093">
        <v>111.80716</v>
      </c>
      <c r="E2093" s="1">
        <v>45261</v>
      </c>
    </row>
    <row r="2094" spans="1:5" x14ac:dyDescent="0.25">
      <c r="A2094" t="s">
        <v>12</v>
      </c>
      <c r="B2094" t="s">
        <v>6</v>
      </c>
      <c r="C2094">
        <v>102.97</v>
      </c>
      <c r="D2094">
        <v>98.955860000000001</v>
      </c>
      <c r="E2094" s="1">
        <v>45292</v>
      </c>
    </row>
    <row r="2095" spans="1:5" x14ac:dyDescent="0.25">
      <c r="A2095" t="s">
        <v>12</v>
      </c>
      <c r="B2095" t="s">
        <v>6</v>
      </c>
      <c r="C2095">
        <v>99.53</v>
      </c>
      <c r="D2095">
        <v>92.973479999999995</v>
      </c>
      <c r="E2095" s="1">
        <v>45323</v>
      </c>
    </row>
    <row r="2096" spans="1:5" x14ac:dyDescent="0.25">
      <c r="A2096" t="s">
        <v>12</v>
      </c>
      <c r="B2096" t="s">
        <v>6</v>
      </c>
      <c r="C2096">
        <v>103.1</v>
      </c>
      <c r="D2096">
        <v>101.46176</v>
      </c>
      <c r="E2096" s="1">
        <v>45352</v>
      </c>
    </row>
    <row r="2097" spans="1:5" x14ac:dyDescent="0.25">
      <c r="A2097" t="s">
        <v>12</v>
      </c>
      <c r="B2097" t="s">
        <v>6</v>
      </c>
      <c r="C2097">
        <v>103.6</v>
      </c>
      <c r="D2097">
        <v>100.33358</v>
      </c>
      <c r="E2097" s="1">
        <v>45383</v>
      </c>
    </row>
    <row r="2098" spans="1:5" x14ac:dyDescent="0.25">
      <c r="A2098" t="s">
        <v>12</v>
      </c>
      <c r="B2098" t="s">
        <v>6</v>
      </c>
      <c r="C2098">
        <v>101.79</v>
      </c>
      <c r="D2098">
        <v>100.75049</v>
      </c>
      <c r="E2098" s="1">
        <v>45413</v>
      </c>
    </row>
    <row r="2099" spans="1:5" x14ac:dyDescent="0.25">
      <c r="A2099" t="s">
        <v>12</v>
      </c>
      <c r="B2099" t="s">
        <v>6</v>
      </c>
      <c r="C2099">
        <v>103.99</v>
      </c>
      <c r="D2099">
        <v>103.16072</v>
      </c>
      <c r="E2099" s="1">
        <v>45444</v>
      </c>
    </row>
    <row r="2100" spans="1:5" x14ac:dyDescent="0.25">
      <c r="A2100" t="s">
        <v>12</v>
      </c>
      <c r="B2100" t="s">
        <v>6</v>
      </c>
      <c r="C2100">
        <v>103.85</v>
      </c>
      <c r="D2100">
        <v>104.67048</v>
      </c>
      <c r="E2100" s="1">
        <v>45474</v>
      </c>
    </row>
    <row r="2101" spans="1:5" x14ac:dyDescent="0.25">
      <c r="A2101" t="s">
        <v>12</v>
      </c>
      <c r="B2101" t="s">
        <v>6</v>
      </c>
      <c r="C2101">
        <v>104.02</v>
      </c>
      <c r="D2101">
        <v>105.33899</v>
      </c>
      <c r="E2101" s="1">
        <v>45505</v>
      </c>
    </row>
    <row r="2102" spans="1:5" x14ac:dyDescent="0.25">
      <c r="A2102" t="s">
        <v>12</v>
      </c>
      <c r="B2102" t="s">
        <v>6</v>
      </c>
      <c r="C2102">
        <v>105.02</v>
      </c>
      <c r="D2102">
        <v>104.89839000000001</v>
      </c>
      <c r="E2102" s="1">
        <v>45536</v>
      </c>
    </row>
    <row r="2103" spans="1:5" x14ac:dyDescent="0.25">
      <c r="A2103" t="s">
        <v>12</v>
      </c>
      <c r="B2103" t="s">
        <v>6</v>
      </c>
      <c r="C2103">
        <v>105.6</v>
      </c>
      <c r="D2103">
        <v>108.92171</v>
      </c>
      <c r="E2103" s="1">
        <v>45566</v>
      </c>
    </row>
    <row r="2104" spans="1:5" x14ac:dyDescent="0.25">
      <c r="A2104" t="s">
        <v>12</v>
      </c>
      <c r="B2104" t="s">
        <v>6</v>
      </c>
      <c r="C2104">
        <v>104.94</v>
      </c>
      <c r="D2104">
        <v>108.23779</v>
      </c>
      <c r="E2104" s="1">
        <v>45597</v>
      </c>
    </row>
    <row r="2105" spans="1:5" x14ac:dyDescent="0.25">
      <c r="A2105" t="s">
        <v>12</v>
      </c>
      <c r="B2105" t="s">
        <v>6</v>
      </c>
      <c r="C2105">
        <v>103.48</v>
      </c>
      <c r="D2105">
        <v>115.3305</v>
      </c>
      <c r="E2105" s="1">
        <v>45627</v>
      </c>
    </row>
    <row r="2106" spans="1:5" x14ac:dyDescent="0.25">
      <c r="A2106" t="s">
        <v>12</v>
      </c>
      <c r="B2106" t="s">
        <v>6</v>
      </c>
      <c r="C2106">
        <v>105.8</v>
      </c>
      <c r="D2106">
        <v>102.03033000000001</v>
      </c>
      <c r="E2106" s="1">
        <v>45658</v>
      </c>
    </row>
    <row r="2107" spans="1:5" x14ac:dyDescent="0.25">
      <c r="A2107" t="s">
        <v>12</v>
      </c>
      <c r="B2107" t="s">
        <v>6</v>
      </c>
      <c r="C2107">
        <v>106.66</v>
      </c>
      <c r="D2107">
        <v>98.340590000000006</v>
      </c>
      <c r="E2107" s="1">
        <v>45689</v>
      </c>
    </row>
    <row r="2108" spans="1:5" x14ac:dyDescent="0.25">
      <c r="A2108" t="s">
        <v>12</v>
      </c>
      <c r="B2108" t="s">
        <v>6</v>
      </c>
      <c r="C2108">
        <v>106.97</v>
      </c>
      <c r="D2108">
        <v>103.71921</v>
      </c>
      <c r="E2108" s="1">
        <v>45717</v>
      </c>
    </row>
    <row r="2109" spans="1:5" x14ac:dyDescent="0.25">
      <c r="A2109" t="s">
        <v>12</v>
      </c>
      <c r="B2109" t="s">
        <v>6</v>
      </c>
      <c r="C2109">
        <v>107.55</v>
      </c>
      <c r="D2109">
        <v>103.17384</v>
      </c>
      <c r="E2109" s="1">
        <v>45748</v>
      </c>
    </row>
    <row r="2110" spans="1:5" x14ac:dyDescent="0.25">
      <c r="A2110" t="s">
        <v>12</v>
      </c>
      <c r="B2110" t="s">
        <v>6</v>
      </c>
      <c r="C2110">
        <v>108.4</v>
      </c>
      <c r="D2110">
        <v>106.84707</v>
      </c>
      <c r="E2110" s="1">
        <v>45778</v>
      </c>
    </row>
    <row r="2111" spans="1:5" x14ac:dyDescent="0.25">
      <c r="A2111" t="s">
        <v>12</v>
      </c>
      <c r="B2111" t="s">
        <v>6</v>
      </c>
      <c r="C2111">
        <v>108.62</v>
      </c>
      <c r="D2111">
        <v>107.59963999999999</v>
      </c>
      <c r="E2111" s="1">
        <v>45809</v>
      </c>
    </row>
    <row r="2112" spans="1:5" x14ac:dyDescent="0.25">
      <c r="A2112" t="s">
        <v>12</v>
      </c>
      <c r="B2112" t="s">
        <v>6</v>
      </c>
      <c r="C2112">
        <v>109.96</v>
      </c>
      <c r="D2112">
        <v>111.14796</v>
      </c>
      <c r="E2112" s="1">
        <v>45839</v>
      </c>
    </row>
    <row r="2113" spans="1:5" x14ac:dyDescent="0.25">
      <c r="A2113" t="s">
        <v>12</v>
      </c>
      <c r="B2113" t="s">
        <v>6</v>
      </c>
      <c r="C2113">
        <v>108.74</v>
      </c>
      <c r="D2113">
        <v>109.56113000000001</v>
      </c>
      <c r="E2113" s="1">
        <v>45870</v>
      </c>
    </row>
  </sheetData>
  <autoFilter ref="A1:E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13"/>
  <sheetViews>
    <sheetView workbookViewId="0">
      <selection activeCell="D2" sqref="D2"/>
    </sheetView>
  </sheetViews>
  <sheetFormatPr defaultRowHeight="15" x14ac:dyDescent="0.25"/>
  <cols>
    <col min="1" max="1" width="10.7109375" bestFit="1" customWidth="1"/>
    <col min="4" max="4" width="12.85546875" customWidth="1"/>
  </cols>
  <sheetData>
    <row r="1" spans="1:4" x14ac:dyDescent="0.25">
      <c r="A1" t="s">
        <v>4</v>
      </c>
      <c r="B1" s="2" t="s">
        <v>13</v>
      </c>
      <c r="C1" s="2" t="s">
        <v>15</v>
      </c>
      <c r="D1" s="2" t="s">
        <v>14</v>
      </c>
    </row>
    <row r="2" spans="1:4" x14ac:dyDescent="0.25">
      <c r="A2" s="1">
        <v>40544</v>
      </c>
      <c r="B2">
        <f>YEAR('base-pms_spbrasil'!E2)</f>
        <v>2011</v>
      </c>
      <c r="C2">
        <f>MONTH('base-pms_spbrasil'!E2)</f>
        <v>1</v>
      </c>
      <c r="D2" s="3" t="str">
        <f>UPPER(TEXT('base-pms_spbrasil'!E2,"MMMM"))</f>
        <v>JANEIRO</v>
      </c>
    </row>
    <row r="3" spans="1:4" x14ac:dyDescent="0.25">
      <c r="A3" s="1">
        <v>40575</v>
      </c>
      <c r="B3">
        <f>YEAR('base-pms_spbrasil'!E3)</f>
        <v>2011</v>
      </c>
      <c r="C3">
        <f>MONTH('base-pms_spbrasil'!E3)</f>
        <v>2</v>
      </c>
      <c r="D3" s="3" t="str">
        <f>UPPER(TEXT('base-pms_spbrasil'!E3,"MMMM"))</f>
        <v>FEVEREIRO</v>
      </c>
    </row>
    <row r="4" spans="1:4" x14ac:dyDescent="0.25">
      <c r="A4" s="1">
        <v>40603</v>
      </c>
      <c r="B4">
        <f>YEAR('base-pms_spbrasil'!E4)</f>
        <v>2011</v>
      </c>
      <c r="C4">
        <f>MONTH('base-pms_spbrasil'!E4)</f>
        <v>3</v>
      </c>
      <c r="D4" s="3" t="str">
        <f>UPPER(TEXT('base-pms_spbrasil'!E4,"MMMM"))</f>
        <v>MARÇO</v>
      </c>
    </row>
    <row r="5" spans="1:4" x14ac:dyDescent="0.25">
      <c r="A5" s="1">
        <v>40634</v>
      </c>
      <c r="B5">
        <f>YEAR('base-pms_spbrasil'!E5)</f>
        <v>2011</v>
      </c>
      <c r="C5">
        <f>MONTH('base-pms_spbrasil'!E5)</f>
        <v>4</v>
      </c>
      <c r="D5" s="3" t="str">
        <f>UPPER(TEXT('base-pms_spbrasil'!E5,"MMMM"))</f>
        <v>ABRIL</v>
      </c>
    </row>
    <row r="6" spans="1:4" x14ac:dyDescent="0.25">
      <c r="A6" s="1">
        <v>40664</v>
      </c>
      <c r="B6">
        <f>YEAR('base-pms_spbrasil'!E6)</f>
        <v>2011</v>
      </c>
      <c r="C6">
        <f>MONTH('base-pms_spbrasil'!E6)</f>
        <v>5</v>
      </c>
      <c r="D6" s="3" t="str">
        <f>UPPER(TEXT('base-pms_spbrasil'!E6,"MMMM"))</f>
        <v>MAIO</v>
      </c>
    </row>
    <row r="7" spans="1:4" x14ac:dyDescent="0.25">
      <c r="A7" s="1">
        <v>40695</v>
      </c>
      <c r="B7">
        <f>YEAR('base-pms_spbrasil'!E7)</f>
        <v>2011</v>
      </c>
      <c r="C7">
        <f>MONTH('base-pms_spbrasil'!E7)</f>
        <v>6</v>
      </c>
      <c r="D7" s="3" t="str">
        <f>UPPER(TEXT('base-pms_spbrasil'!E7,"MMMM"))</f>
        <v>JUNHO</v>
      </c>
    </row>
    <row r="8" spans="1:4" x14ac:dyDescent="0.25">
      <c r="A8" s="1">
        <v>40725</v>
      </c>
      <c r="B8">
        <f>YEAR('base-pms_spbrasil'!E8)</f>
        <v>2011</v>
      </c>
      <c r="C8">
        <f>MONTH('base-pms_spbrasil'!E8)</f>
        <v>7</v>
      </c>
      <c r="D8" s="3" t="str">
        <f>UPPER(TEXT('base-pms_spbrasil'!E8,"MMMM"))</f>
        <v>JULHO</v>
      </c>
    </row>
    <row r="9" spans="1:4" x14ac:dyDescent="0.25">
      <c r="A9" s="1">
        <v>40756</v>
      </c>
      <c r="B9">
        <f>YEAR('base-pms_spbrasil'!E9)</f>
        <v>2011</v>
      </c>
      <c r="C9">
        <f>MONTH('base-pms_spbrasil'!E9)</f>
        <v>8</v>
      </c>
      <c r="D9" s="3" t="str">
        <f>UPPER(TEXT('base-pms_spbrasil'!E9,"MMMM"))</f>
        <v>AGOSTO</v>
      </c>
    </row>
    <row r="10" spans="1:4" x14ac:dyDescent="0.25">
      <c r="A10" s="1">
        <v>40787</v>
      </c>
      <c r="B10">
        <f>YEAR('base-pms_spbrasil'!E10)</f>
        <v>2011</v>
      </c>
      <c r="C10">
        <f>MONTH('base-pms_spbrasil'!E10)</f>
        <v>9</v>
      </c>
      <c r="D10" s="3" t="str">
        <f>UPPER(TEXT('base-pms_spbrasil'!E10,"MMMM"))</f>
        <v>SETEMBRO</v>
      </c>
    </row>
    <row r="11" spans="1:4" x14ac:dyDescent="0.25">
      <c r="A11" s="1">
        <v>40817</v>
      </c>
      <c r="B11">
        <f>YEAR('base-pms_spbrasil'!E11)</f>
        <v>2011</v>
      </c>
      <c r="C11">
        <f>MONTH('base-pms_spbrasil'!E11)</f>
        <v>10</v>
      </c>
      <c r="D11" s="3" t="str">
        <f>UPPER(TEXT('base-pms_spbrasil'!E11,"MMMM"))</f>
        <v>OUTUBRO</v>
      </c>
    </row>
    <row r="12" spans="1:4" x14ac:dyDescent="0.25">
      <c r="A12" s="1">
        <v>40848</v>
      </c>
      <c r="B12">
        <f>YEAR('base-pms_spbrasil'!E12)</f>
        <v>2011</v>
      </c>
      <c r="C12">
        <f>MONTH('base-pms_spbrasil'!E12)</f>
        <v>11</v>
      </c>
      <c r="D12" s="3" t="str">
        <f>UPPER(TEXT('base-pms_spbrasil'!E12,"MMMM"))</f>
        <v>NOVEMBRO</v>
      </c>
    </row>
    <row r="13" spans="1:4" x14ac:dyDescent="0.25">
      <c r="A13" s="1">
        <v>40878</v>
      </c>
      <c r="B13">
        <f>YEAR('base-pms_spbrasil'!E13)</f>
        <v>2011</v>
      </c>
      <c r="C13">
        <f>MONTH('base-pms_spbrasil'!E13)</f>
        <v>12</v>
      </c>
      <c r="D13" s="3" t="str">
        <f>UPPER(TEXT('base-pms_spbrasil'!E13,"MMMM"))</f>
        <v>DEZEMBRO</v>
      </c>
    </row>
    <row r="14" spans="1:4" x14ac:dyDescent="0.25">
      <c r="A14" s="1">
        <v>40909</v>
      </c>
      <c r="B14">
        <f>YEAR('base-pms_spbrasil'!E14)</f>
        <v>2012</v>
      </c>
      <c r="C14">
        <f>MONTH('base-pms_spbrasil'!E14)</f>
        <v>1</v>
      </c>
      <c r="D14" s="3" t="str">
        <f>UPPER(TEXT('base-pms_spbrasil'!E14,"MMMM"))</f>
        <v>JANEIRO</v>
      </c>
    </row>
    <row r="15" spans="1:4" x14ac:dyDescent="0.25">
      <c r="A15" s="1">
        <v>40940</v>
      </c>
      <c r="B15">
        <f>YEAR('base-pms_spbrasil'!E15)</f>
        <v>2012</v>
      </c>
      <c r="C15">
        <f>MONTH('base-pms_spbrasil'!E15)</f>
        <v>2</v>
      </c>
      <c r="D15" s="3" t="str">
        <f>UPPER(TEXT('base-pms_spbrasil'!E15,"MMMM"))</f>
        <v>FEVEREIRO</v>
      </c>
    </row>
    <row r="16" spans="1:4" x14ac:dyDescent="0.25">
      <c r="A16" s="1">
        <v>40969</v>
      </c>
      <c r="B16">
        <f>YEAR('base-pms_spbrasil'!E16)</f>
        <v>2012</v>
      </c>
      <c r="C16">
        <f>MONTH('base-pms_spbrasil'!E16)</f>
        <v>3</v>
      </c>
      <c r="D16" s="3" t="str">
        <f>UPPER(TEXT('base-pms_spbrasil'!E16,"MMMM"))</f>
        <v>MARÇO</v>
      </c>
    </row>
    <row r="17" spans="1:4" x14ac:dyDescent="0.25">
      <c r="A17" s="1">
        <v>41000</v>
      </c>
      <c r="B17">
        <f>YEAR('base-pms_spbrasil'!E17)</f>
        <v>2012</v>
      </c>
      <c r="C17">
        <f>MONTH('base-pms_spbrasil'!E17)</f>
        <v>4</v>
      </c>
      <c r="D17" s="3" t="str">
        <f>UPPER(TEXT('base-pms_spbrasil'!E17,"MMMM"))</f>
        <v>ABRIL</v>
      </c>
    </row>
    <row r="18" spans="1:4" x14ac:dyDescent="0.25">
      <c r="A18" s="1">
        <v>41030</v>
      </c>
      <c r="B18">
        <f>YEAR('base-pms_spbrasil'!E18)</f>
        <v>2012</v>
      </c>
      <c r="C18">
        <f>MONTH('base-pms_spbrasil'!E18)</f>
        <v>5</v>
      </c>
      <c r="D18" s="3" t="str">
        <f>UPPER(TEXT('base-pms_spbrasil'!E18,"MMMM"))</f>
        <v>MAIO</v>
      </c>
    </row>
    <row r="19" spans="1:4" x14ac:dyDescent="0.25">
      <c r="A19" s="1">
        <v>41061</v>
      </c>
      <c r="B19">
        <f>YEAR('base-pms_spbrasil'!E19)</f>
        <v>2012</v>
      </c>
      <c r="C19">
        <f>MONTH('base-pms_spbrasil'!E19)</f>
        <v>6</v>
      </c>
      <c r="D19" s="3" t="str">
        <f>UPPER(TEXT('base-pms_spbrasil'!E19,"MMMM"))</f>
        <v>JUNHO</v>
      </c>
    </row>
    <row r="20" spans="1:4" x14ac:dyDescent="0.25">
      <c r="A20" s="1">
        <v>41091</v>
      </c>
      <c r="B20">
        <f>YEAR('base-pms_spbrasil'!E20)</f>
        <v>2012</v>
      </c>
      <c r="C20">
        <f>MONTH('base-pms_spbrasil'!E20)</f>
        <v>7</v>
      </c>
      <c r="D20" s="3" t="str">
        <f>UPPER(TEXT('base-pms_spbrasil'!E20,"MMMM"))</f>
        <v>JULHO</v>
      </c>
    </row>
    <row r="21" spans="1:4" x14ac:dyDescent="0.25">
      <c r="A21" s="1">
        <v>41122</v>
      </c>
      <c r="B21">
        <f>YEAR('base-pms_spbrasil'!E21)</f>
        <v>2012</v>
      </c>
      <c r="C21">
        <f>MONTH('base-pms_spbrasil'!E21)</f>
        <v>8</v>
      </c>
      <c r="D21" s="3" t="str">
        <f>UPPER(TEXT('base-pms_spbrasil'!E21,"MMMM"))</f>
        <v>AGOSTO</v>
      </c>
    </row>
    <row r="22" spans="1:4" x14ac:dyDescent="0.25">
      <c r="A22" s="1">
        <v>41153</v>
      </c>
      <c r="B22">
        <f>YEAR('base-pms_spbrasil'!E22)</f>
        <v>2012</v>
      </c>
      <c r="C22">
        <f>MONTH('base-pms_spbrasil'!E22)</f>
        <v>9</v>
      </c>
      <c r="D22" s="3" t="str">
        <f>UPPER(TEXT('base-pms_spbrasil'!E22,"MMMM"))</f>
        <v>SETEMBRO</v>
      </c>
    </row>
    <row r="23" spans="1:4" x14ac:dyDescent="0.25">
      <c r="A23" s="1">
        <v>41183</v>
      </c>
      <c r="B23">
        <f>YEAR('base-pms_spbrasil'!E23)</f>
        <v>2012</v>
      </c>
      <c r="C23">
        <f>MONTH('base-pms_spbrasil'!E23)</f>
        <v>10</v>
      </c>
      <c r="D23" s="3" t="str">
        <f>UPPER(TEXT('base-pms_spbrasil'!E23,"MMMM"))</f>
        <v>OUTUBRO</v>
      </c>
    </row>
    <row r="24" spans="1:4" x14ac:dyDescent="0.25">
      <c r="A24" s="1">
        <v>41214</v>
      </c>
      <c r="B24">
        <f>YEAR('base-pms_spbrasil'!E24)</f>
        <v>2012</v>
      </c>
      <c r="C24">
        <f>MONTH('base-pms_spbrasil'!E24)</f>
        <v>11</v>
      </c>
      <c r="D24" s="3" t="str">
        <f>UPPER(TEXT('base-pms_spbrasil'!E24,"MMMM"))</f>
        <v>NOVEMBRO</v>
      </c>
    </row>
    <row r="25" spans="1:4" x14ac:dyDescent="0.25">
      <c r="A25" s="1">
        <v>41244</v>
      </c>
      <c r="B25">
        <f>YEAR('base-pms_spbrasil'!E25)</f>
        <v>2012</v>
      </c>
      <c r="C25">
        <f>MONTH('base-pms_spbrasil'!E25)</f>
        <v>12</v>
      </c>
      <c r="D25" s="3" t="str">
        <f>UPPER(TEXT('base-pms_spbrasil'!E25,"MMMM"))</f>
        <v>DEZEMBRO</v>
      </c>
    </row>
    <row r="26" spans="1:4" x14ac:dyDescent="0.25">
      <c r="A26" s="1">
        <v>41275</v>
      </c>
      <c r="B26">
        <f>YEAR('base-pms_spbrasil'!E26)</f>
        <v>2013</v>
      </c>
      <c r="C26">
        <f>MONTH('base-pms_spbrasil'!E26)</f>
        <v>1</v>
      </c>
      <c r="D26" s="3" t="str">
        <f>UPPER(TEXT('base-pms_spbrasil'!E26,"MMMM"))</f>
        <v>JANEIRO</v>
      </c>
    </row>
    <row r="27" spans="1:4" x14ac:dyDescent="0.25">
      <c r="A27" s="1">
        <v>41306</v>
      </c>
      <c r="B27">
        <f>YEAR('base-pms_spbrasil'!E27)</f>
        <v>2013</v>
      </c>
      <c r="C27">
        <f>MONTH('base-pms_spbrasil'!E27)</f>
        <v>2</v>
      </c>
      <c r="D27" s="3" t="str">
        <f>UPPER(TEXT('base-pms_spbrasil'!E27,"MMMM"))</f>
        <v>FEVEREIRO</v>
      </c>
    </row>
    <row r="28" spans="1:4" x14ac:dyDescent="0.25">
      <c r="A28" s="1">
        <v>41334</v>
      </c>
      <c r="B28">
        <f>YEAR('base-pms_spbrasil'!E28)</f>
        <v>2013</v>
      </c>
      <c r="C28">
        <f>MONTH('base-pms_spbrasil'!E28)</f>
        <v>3</v>
      </c>
      <c r="D28" s="3" t="str">
        <f>UPPER(TEXT('base-pms_spbrasil'!E28,"MMMM"))</f>
        <v>MARÇO</v>
      </c>
    </row>
    <row r="29" spans="1:4" x14ac:dyDescent="0.25">
      <c r="A29" s="1">
        <v>41365</v>
      </c>
      <c r="B29">
        <f>YEAR('base-pms_spbrasil'!E29)</f>
        <v>2013</v>
      </c>
      <c r="C29">
        <f>MONTH('base-pms_spbrasil'!E29)</f>
        <v>4</v>
      </c>
      <c r="D29" s="3" t="str">
        <f>UPPER(TEXT('base-pms_spbrasil'!E29,"MMMM"))</f>
        <v>ABRIL</v>
      </c>
    </row>
    <row r="30" spans="1:4" x14ac:dyDescent="0.25">
      <c r="A30" s="1">
        <v>41395</v>
      </c>
      <c r="B30">
        <f>YEAR('base-pms_spbrasil'!E30)</f>
        <v>2013</v>
      </c>
      <c r="C30">
        <f>MONTH('base-pms_spbrasil'!E30)</f>
        <v>5</v>
      </c>
      <c r="D30" s="3" t="str">
        <f>UPPER(TEXT('base-pms_spbrasil'!E30,"MMMM"))</f>
        <v>MAIO</v>
      </c>
    </row>
    <row r="31" spans="1:4" x14ac:dyDescent="0.25">
      <c r="A31" s="1">
        <v>41426</v>
      </c>
      <c r="B31">
        <f>YEAR('base-pms_spbrasil'!E31)</f>
        <v>2013</v>
      </c>
      <c r="C31">
        <f>MONTH('base-pms_spbrasil'!E31)</f>
        <v>6</v>
      </c>
      <c r="D31" s="3" t="str">
        <f>UPPER(TEXT('base-pms_spbrasil'!E31,"MMMM"))</f>
        <v>JUNHO</v>
      </c>
    </row>
    <row r="32" spans="1:4" x14ac:dyDescent="0.25">
      <c r="A32" s="1">
        <v>41456</v>
      </c>
      <c r="B32">
        <f>YEAR('base-pms_spbrasil'!E32)</f>
        <v>2013</v>
      </c>
      <c r="C32">
        <f>MONTH('base-pms_spbrasil'!E32)</f>
        <v>7</v>
      </c>
      <c r="D32" s="3" t="str">
        <f>UPPER(TEXT('base-pms_spbrasil'!E32,"MMMM"))</f>
        <v>JULHO</v>
      </c>
    </row>
    <row r="33" spans="1:4" x14ac:dyDescent="0.25">
      <c r="A33" s="1">
        <v>41487</v>
      </c>
      <c r="B33">
        <f>YEAR('base-pms_spbrasil'!E33)</f>
        <v>2013</v>
      </c>
      <c r="C33">
        <f>MONTH('base-pms_spbrasil'!E33)</f>
        <v>8</v>
      </c>
      <c r="D33" s="3" t="str">
        <f>UPPER(TEXT('base-pms_spbrasil'!E33,"MMMM"))</f>
        <v>AGOSTO</v>
      </c>
    </row>
    <row r="34" spans="1:4" x14ac:dyDescent="0.25">
      <c r="A34" s="1">
        <v>41518</v>
      </c>
      <c r="B34">
        <f>YEAR('base-pms_spbrasil'!E34)</f>
        <v>2013</v>
      </c>
      <c r="C34">
        <f>MONTH('base-pms_spbrasil'!E34)</f>
        <v>9</v>
      </c>
      <c r="D34" s="3" t="str">
        <f>UPPER(TEXT('base-pms_spbrasil'!E34,"MMMM"))</f>
        <v>SETEMBRO</v>
      </c>
    </row>
    <row r="35" spans="1:4" x14ac:dyDescent="0.25">
      <c r="A35" s="1">
        <v>41548</v>
      </c>
      <c r="B35">
        <f>YEAR('base-pms_spbrasil'!E35)</f>
        <v>2013</v>
      </c>
      <c r="C35">
        <f>MONTH('base-pms_spbrasil'!E35)</f>
        <v>10</v>
      </c>
      <c r="D35" s="3" t="str">
        <f>UPPER(TEXT('base-pms_spbrasil'!E35,"MMMM"))</f>
        <v>OUTUBRO</v>
      </c>
    </row>
    <row r="36" spans="1:4" x14ac:dyDescent="0.25">
      <c r="A36" s="1">
        <v>41579</v>
      </c>
      <c r="B36">
        <f>YEAR('base-pms_spbrasil'!E36)</f>
        <v>2013</v>
      </c>
      <c r="C36">
        <f>MONTH('base-pms_spbrasil'!E36)</f>
        <v>11</v>
      </c>
      <c r="D36" s="3" t="str">
        <f>UPPER(TEXT('base-pms_spbrasil'!E36,"MMMM"))</f>
        <v>NOVEMBRO</v>
      </c>
    </row>
    <row r="37" spans="1:4" x14ac:dyDescent="0.25">
      <c r="A37" s="1">
        <v>41609</v>
      </c>
      <c r="B37">
        <f>YEAR('base-pms_spbrasil'!E37)</f>
        <v>2013</v>
      </c>
      <c r="C37">
        <f>MONTH('base-pms_spbrasil'!E37)</f>
        <v>12</v>
      </c>
      <c r="D37" s="3" t="str">
        <f>UPPER(TEXT('base-pms_spbrasil'!E37,"MMMM"))</f>
        <v>DEZEMBRO</v>
      </c>
    </row>
    <row r="38" spans="1:4" x14ac:dyDescent="0.25">
      <c r="A38" s="1">
        <v>41640</v>
      </c>
      <c r="B38">
        <f>YEAR('base-pms_spbrasil'!E38)</f>
        <v>2014</v>
      </c>
      <c r="C38">
        <f>MONTH('base-pms_spbrasil'!E38)</f>
        <v>1</v>
      </c>
      <c r="D38" s="3" t="str">
        <f>UPPER(TEXT('base-pms_spbrasil'!E38,"MMMM"))</f>
        <v>JANEIRO</v>
      </c>
    </row>
    <row r="39" spans="1:4" x14ac:dyDescent="0.25">
      <c r="A39" s="1">
        <v>41671</v>
      </c>
      <c r="B39">
        <f>YEAR('base-pms_spbrasil'!E39)</f>
        <v>2014</v>
      </c>
      <c r="C39">
        <f>MONTH('base-pms_spbrasil'!E39)</f>
        <v>2</v>
      </c>
      <c r="D39" s="3" t="str">
        <f>UPPER(TEXT('base-pms_spbrasil'!E39,"MMMM"))</f>
        <v>FEVEREIRO</v>
      </c>
    </row>
    <row r="40" spans="1:4" x14ac:dyDescent="0.25">
      <c r="A40" s="1">
        <v>41699</v>
      </c>
      <c r="B40">
        <f>YEAR('base-pms_spbrasil'!E40)</f>
        <v>2014</v>
      </c>
      <c r="C40">
        <f>MONTH('base-pms_spbrasil'!E40)</f>
        <v>3</v>
      </c>
      <c r="D40" s="3" t="str">
        <f>UPPER(TEXT('base-pms_spbrasil'!E40,"MMMM"))</f>
        <v>MARÇO</v>
      </c>
    </row>
    <row r="41" spans="1:4" x14ac:dyDescent="0.25">
      <c r="A41" s="1">
        <v>41730</v>
      </c>
      <c r="B41">
        <f>YEAR('base-pms_spbrasil'!E41)</f>
        <v>2014</v>
      </c>
      <c r="C41">
        <f>MONTH('base-pms_spbrasil'!E41)</f>
        <v>4</v>
      </c>
      <c r="D41" s="3" t="str">
        <f>UPPER(TEXT('base-pms_spbrasil'!E41,"MMMM"))</f>
        <v>ABRIL</v>
      </c>
    </row>
    <row r="42" spans="1:4" x14ac:dyDescent="0.25">
      <c r="A42" s="1">
        <v>41760</v>
      </c>
      <c r="B42">
        <f>YEAR('base-pms_spbrasil'!E42)</f>
        <v>2014</v>
      </c>
      <c r="C42">
        <f>MONTH('base-pms_spbrasil'!E42)</f>
        <v>5</v>
      </c>
      <c r="D42" s="3" t="str">
        <f>UPPER(TEXT('base-pms_spbrasil'!E42,"MMMM"))</f>
        <v>MAIO</v>
      </c>
    </row>
    <row r="43" spans="1:4" x14ac:dyDescent="0.25">
      <c r="A43" s="1">
        <v>41791</v>
      </c>
      <c r="B43">
        <f>YEAR('base-pms_spbrasil'!E43)</f>
        <v>2014</v>
      </c>
      <c r="C43">
        <f>MONTH('base-pms_spbrasil'!E43)</f>
        <v>6</v>
      </c>
      <c r="D43" s="3" t="str">
        <f>UPPER(TEXT('base-pms_spbrasil'!E43,"MMMM"))</f>
        <v>JUNHO</v>
      </c>
    </row>
    <row r="44" spans="1:4" x14ac:dyDescent="0.25">
      <c r="A44" s="1">
        <v>41821</v>
      </c>
      <c r="B44">
        <f>YEAR('base-pms_spbrasil'!E44)</f>
        <v>2014</v>
      </c>
      <c r="C44">
        <f>MONTH('base-pms_spbrasil'!E44)</f>
        <v>7</v>
      </c>
      <c r="D44" s="3" t="str">
        <f>UPPER(TEXT('base-pms_spbrasil'!E44,"MMMM"))</f>
        <v>JULHO</v>
      </c>
    </row>
    <row r="45" spans="1:4" x14ac:dyDescent="0.25">
      <c r="A45" s="1">
        <v>41852</v>
      </c>
      <c r="B45">
        <f>YEAR('base-pms_spbrasil'!E45)</f>
        <v>2014</v>
      </c>
      <c r="C45">
        <f>MONTH('base-pms_spbrasil'!E45)</f>
        <v>8</v>
      </c>
      <c r="D45" s="3" t="str">
        <f>UPPER(TEXT('base-pms_spbrasil'!E45,"MMMM"))</f>
        <v>AGOSTO</v>
      </c>
    </row>
    <row r="46" spans="1:4" x14ac:dyDescent="0.25">
      <c r="A46" s="1">
        <v>41883</v>
      </c>
      <c r="B46">
        <f>YEAR('base-pms_spbrasil'!E46)</f>
        <v>2014</v>
      </c>
      <c r="C46">
        <f>MONTH('base-pms_spbrasil'!E46)</f>
        <v>9</v>
      </c>
      <c r="D46" s="3" t="str">
        <f>UPPER(TEXT('base-pms_spbrasil'!E46,"MMMM"))</f>
        <v>SETEMBRO</v>
      </c>
    </row>
    <row r="47" spans="1:4" x14ac:dyDescent="0.25">
      <c r="A47" s="1">
        <v>41913</v>
      </c>
      <c r="B47">
        <f>YEAR('base-pms_spbrasil'!E47)</f>
        <v>2014</v>
      </c>
      <c r="C47">
        <f>MONTH('base-pms_spbrasil'!E47)</f>
        <v>10</v>
      </c>
      <c r="D47" s="3" t="str">
        <f>UPPER(TEXT('base-pms_spbrasil'!E47,"MMMM"))</f>
        <v>OUTUBRO</v>
      </c>
    </row>
    <row r="48" spans="1:4" x14ac:dyDescent="0.25">
      <c r="A48" s="1">
        <v>41944</v>
      </c>
      <c r="B48">
        <f>YEAR('base-pms_spbrasil'!E48)</f>
        <v>2014</v>
      </c>
      <c r="C48">
        <f>MONTH('base-pms_spbrasil'!E48)</f>
        <v>11</v>
      </c>
      <c r="D48" s="3" t="str">
        <f>UPPER(TEXT('base-pms_spbrasil'!E48,"MMMM"))</f>
        <v>NOVEMBRO</v>
      </c>
    </row>
    <row r="49" spans="1:4" x14ac:dyDescent="0.25">
      <c r="A49" s="1">
        <v>41974</v>
      </c>
      <c r="B49">
        <f>YEAR('base-pms_spbrasil'!E49)</f>
        <v>2014</v>
      </c>
      <c r="C49">
        <f>MONTH('base-pms_spbrasil'!E49)</f>
        <v>12</v>
      </c>
      <c r="D49" s="3" t="str">
        <f>UPPER(TEXT('base-pms_spbrasil'!E49,"MMMM"))</f>
        <v>DEZEMBRO</v>
      </c>
    </row>
    <row r="50" spans="1:4" x14ac:dyDescent="0.25">
      <c r="A50" s="1">
        <v>42005</v>
      </c>
      <c r="B50">
        <f>YEAR('base-pms_spbrasil'!E50)</f>
        <v>2015</v>
      </c>
      <c r="C50">
        <f>MONTH('base-pms_spbrasil'!E50)</f>
        <v>1</v>
      </c>
      <c r="D50" s="3" t="str">
        <f>UPPER(TEXT('base-pms_spbrasil'!E50,"MMMM"))</f>
        <v>JANEIRO</v>
      </c>
    </row>
    <row r="51" spans="1:4" x14ac:dyDescent="0.25">
      <c r="A51" s="1">
        <v>42036</v>
      </c>
      <c r="B51">
        <f>YEAR('base-pms_spbrasil'!E51)</f>
        <v>2015</v>
      </c>
      <c r="C51">
        <f>MONTH('base-pms_spbrasil'!E51)</f>
        <v>2</v>
      </c>
      <c r="D51" s="3" t="str">
        <f>UPPER(TEXT('base-pms_spbrasil'!E51,"MMMM"))</f>
        <v>FEVEREIRO</v>
      </c>
    </row>
    <row r="52" spans="1:4" x14ac:dyDescent="0.25">
      <c r="A52" s="1">
        <v>42064</v>
      </c>
      <c r="B52">
        <f>YEAR('base-pms_spbrasil'!E52)</f>
        <v>2015</v>
      </c>
      <c r="C52">
        <f>MONTH('base-pms_spbrasil'!E52)</f>
        <v>3</v>
      </c>
      <c r="D52" s="3" t="str">
        <f>UPPER(TEXT('base-pms_spbrasil'!E52,"MMMM"))</f>
        <v>MARÇO</v>
      </c>
    </row>
    <row r="53" spans="1:4" x14ac:dyDescent="0.25">
      <c r="A53" s="1">
        <v>42095</v>
      </c>
      <c r="B53">
        <f>YEAR('base-pms_spbrasil'!E53)</f>
        <v>2015</v>
      </c>
      <c r="C53">
        <f>MONTH('base-pms_spbrasil'!E53)</f>
        <v>4</v>
      </c>
      <c r="D53" s="3" t="str">
        <f>UPPER(TEXT('base-pms_spbrasil'!E53,"MMMM"))</f>
        <v>ABRIL</v>
      </c>
    </row>
    <row r="54" spans="1:4" x14ac:dyDescent="0.25">
      <c r="A54" s="1">
        <v>42125</v>
      </c>
      <c r="B54">
        <f>YEAR('base-pms_spbrasil'!E54)</f>
        <v>2015</v>
      </c>
      <c r="C54">
        <f>MONTH('base-pms_spbrasil'!E54)</f>
        <v>5</v>
      </c>
      <c r="D54" s="3" t="str">
        <f>UPPER(TEXT('base-pms_spbrasil'!E54,"MMMM"))</f>
        <v>MAIO</v>
      </c>
    </row>
    <row r="55" spans="1:4" x14ac:dyDescent="0.25">
      <c r="A55" s="1">
        <v>42156</v>
      </c>
      <c r="B55">
        <f>YEAR('base-pms_spbrasil'!E55)</f>
        <v>2015</v>
      </c>
      <c r="C55">
        <f>MONTH('base-pms_spbrasil'!E55)</f>
        <v>6</v>
      </c>
      <c r="D55" s="3" t="str">
        <f>UPPER(TEXT('base-pms_spbrasil'!E55,"MMMM"))</f>
        <v>JUNHO</v>
      </c>
    </row>
    <row r="56" spans="1:4" x14ac:dyDescent="0.25">
      <c r="A56" s="1">
        <v>42186</v>
      </c>
      <c r="B56">
        <f>YEAR('base-pms_spbrasil'!E56)</f>
        <v>2015</v>
      </c>
      <c r="C56">
        <f>MONTH('base-pms_spbrasil'!E56)</f>
        <v>7</v>
      </c>
      <c r="D56" s="3" t="str">
        <f>UPPER(TEXT('base-pms_spbrasil'!E56,"MMMM"))</f>
        <v>JULHO</v>
      </c>
    </row>
    <row r="57" spans="1:4" x14ac:dyDescent="0.25">
      <c r="A57" s="1">
        <v>42217</v>
      </c>
      <c r="B57">
        <f>YEAR('base-pms_spbrasil'!E57)</f>
        <v>2015</v>
      </c>
      <c r="C57">
        <f>MONTH('base-pms_spbrasil'!E57)</f>
        <v>8</v>
      </c>
      <c r="D57" s="3" t="str">
        <f>UPPER(TEXT('base-pms_spbrasil'!E57,"MMMM"))</f>
        <v>AGOSTO</v>
      </c>
    </row>
    <row r="58" spans="1:4" x14ac:dyDescent="0.25">
      <c r="A58" s="1">
        <v>42248</v>
      </c>
      <c r="B58">
        <f>YEAR('base-pms_spbrasil'!E58)</f>
        <v>2015</v>
      </c>
      <c r="C58">
        <f>MONTH('base-pms_spbrasil'!E58)</f>
        <v>9</v>
      </c>
      <c r="D58" s="3" t="str">
        <f>UPPER(TEXT('base-pms_spbrasil'!E58,"MMMM"))</f>
        <v>SETEMBRO</v>
      </c>
    </row>
    <row r="59" spans="1:4" x14ac:dyDescent="0.25">
      <c r="A59" s="1">
        <v>42278</v>
      </c>
      <c r="B59">
        <f>YEAR('base-pms_spbrasil'!E59)</f>
        <v>2015</v>
      </c>
      <c r="C59">
        <f>MONTH('base-pms_spbrasil'!E59)</f>
        <v>10</v>
      </c>
      <c r="D59" s="3" t="str">
        <f>UPPER(TEXT('base-pms_spbrasil'!E59,"MMMM"))</f>
        <v>OUTUBRO</v>
      </c>
    </row>
    <row r="60" spans="1:4" x14ac:dyDescent="0.25">
      <c r="A60" s="1">
        <v>42309</v>
      </c>
      <c r="B60">
        <f>YEAR('base-pms_spbrasil'!E60)</f>
        <v>2015</v>
      </c>
      <c r="C60">
        <f>MONTH('base-pms_spbrasil'!E60)</f>
        <v>11</v>
      </c>
      <c r="D60" s="3" t="str">
        <f>UPPER(TEXT('base-pms_spbrasil'!E60,"MMMM"))</f>
        <v>NOVEMBRO</v>
      </c>
    </row>
    <row r="61" spans="1:4" x14ac:dyDescent="0.25">
      <c r="A61" s="1">
        <v>42339</v>
      </c>
      <c r="B61">
        <f>YEAR('base-pms_spbrasil'!E61)</f>
        <v>2015</v>
      </c>
      <c r="C61">
        <f>MONTH('base-pms_spbrasil'!E61)</f>
        <v>12</v>
      </c>
      <c r="D61" s="3" t="str">
        <f>UPPER(TEXT('base-pms_spbrasil'!E61,"MMMM"))</f>
        <v>DEZEMBRO</v>
      </c>
    </row>
    <row r="62" spans="1:4" x14ac:dyDescent="0.25">
      <c r="A62" s="1">
        <v>42370</v>
      </c>
      <c r="B62">
        <f>YEAR('base-pms_spbrasil'!E62)</f>
        <v>2016</v>
      </c>
      <c r="C62">
        <f>MONTH('base-pms_spbrasil'!E62)</f>
        <v>1</v>
      </c>
      <c r="D62" s="3" t="str">
        <f>UPPER(TEXT('base-pms_spbrasil'!E62,"MMMM"))</f>
        <v>JANEIRO</v>
      </c>
    </row>
    <row r="63" spans="1:4" x14ac:dyDescent="0.25">
      <c r="A63" s="1">
        <v>42401</v>
      </c>
      <c r="B63">
        <f>YEAR('base-pms_spbrasil'!E63)</f>
        <v>2016</v>
      </c>
      <c r="C63">
        <f>MONTH('base-pms_spbrasil'!E63)</f>
        <v>2</v>
      </c>
      <c r="D63" s="3" t="str">
        <f>UPPER(TEXT('base-pms_spbrasil'!E63,"MMMM"))</f>
        <v>FEVEREIRO</v>
      </c>
    </row>
    <row r="64" spans="1:4" x14ac:dyDescent="0.25">
      <c r="A64" s="1">
        <v>42430</v>
      </c>
      <c r="B64">
        <f>YEAR('base-pms_spbrasil'!E64)</f>
        <v>2016</v>
      </c>
      <c r="C64">
        <f>MONTH('base-pms_spbrasil'!E64)</f>
        <v>3</v>
      </c>
      <c r="D64" s="3" t="str">
        <f>UPPER(TEXT('base-pms_spbrasil'!E64,"MMMM"))</f>
        <v>MARÇO</v>
      </c>
    </row>
    <row r="65" spans="1:4" x14ac:dyDescent="0.25">
      <c r="A65" s="1">
        <v>42461</v>
      </c>
      <c r="B65">
        <f>YEAR('base-pms_spbrasil'!E65)</f>
        <v>2016</v>
      </c>
      <c r="C65">
        <f>MONTH('base-pms_spbrasil'!E65)</f>
        <v>4</v>
      </c>
      <c r="D65" s="3" t="str">
        <f>UPPER(TEXT('base-pms_spbrasil'!E65,"MMMM"))</f>
        <v>ABRIL</v>
      </c>
    </row>
    <row r="66" spans="1:4" x14ac:dyDescent="0.25">
      <c r="A66" s="1">
        <v>42491</v>
      </c>
      <c r="B66">
        <f>YEAR('base-pms_spbrasil'!E66)</f>
        <v>2016</v>
      </c>
      <c r="C66">
        <f>MONTH('base-pms_spbrasil'!E66)</f>
        <v>5</v>
      </c>
      <c r="D66" s="3" t="str">
        <f>UPPER(TEXT('base-pms_spbrasil'!E66,"MMMM"))</f>
        <v>MAIO</v>
      </c>
    </row>
    <row r="67" spans="1:4" x14ac:dyDescent="0.25">
      <c r="A67" s="1">
        <v>42522</v>
      </c>
      <c r="B67">
        <f>YEAR('base-pms_spbrasil'!E67)</f>
        <v>2016</v>
      </c>
      <c r="C67">
        <f>MONTH('base-pms_spbrasil'!E67)</f>
        <v>6</v>
      </c>
      <c r="D67" s="3" t="str">
        <f>UPPER(TEXT('base-pms_spbrasil'!E67,"MMMM"))</f>
        <v>JUNHO</v>
      </c>
    </row>
    <row r="68" spans="1:4" x14ac:dyDescent="0.25">
      <c r="A68" s="1">
        <v>42552</v>
      </c>
      <c r="B68">
        <f>YEAR('base-pms_spbrasil'!E68)</f>
        <v>2016</v>
      </c>
      <c r="C68">
        <f>MONTH('base-pms_spbrasil'!E68)</f>
        <v>7</v>
      </c>
      <c r="D68" s="3" t="str">
        <f>UPPER(TEXT('base-pms_spbrasil'!E68,"MMMM"))</f>
        <v>JULHO</v>
      </c>
    </row>
    <row r="69" spans="1:4" x14ac:dyDescent="0.25">
      <c r="A69" s="1">
        <v>42583</v>
      </c>
      <c r="B69">
        <f>YEAR('base-pms_spbrasil'!E69)</f>
        <v>2016</v>
      </c>
      <c r="C69">
        <f>MONTH('base-pms_spbrasil'!E69)</f>
        <v>8</v>
      </c>
      <c r="D69" s="3" t="str">
        <f>UPPER(TEXT('base-pms_spbrasil'!E69,"MMMM"))</f>
        <v>AGOSTO</v>
      </c>
    </row>
    <row r="70" spans="1:4" x14ac:dyDescent="0.25">
      <c r="A70" s="1">
        <v>42614</v>
      </c>
      <c r="B70">
        <f>YEAR('base-pms_spbrasil'!E70)</f>
        <v>2016</v>
      </c>
      <c r="C70">
        <f>MONTH('base-pms_spbrasil'!E70)</f>
        <v>9</v>
      </c>
      <c r="D70" s="3" t="str">
        <f>UPPER(TEXT('base-pms_spbrasil'!E70,"MMMM"))</f>
        <v>SETEMBRO</v>
      </c>
    </row>
    <row r="71" spans="1:4" x14ac:dyDescent="0.25">
      <c r="A71" s="1">
        <v>42644</v>
      </c>
      <c r="B71">
        <f>YEAR('base-pms_spbrasil'!E71)</f>
        <v>2016</v>
      </c>
      <c r="C71">
        <f>MONTH('base-pms_spbrasil'!E71)</f>
        <v>10</v>
      </c>
      <c r="D71" s="3" t="str">
        <f>UPPER(TEXT('base-pms_spbrasil'!E71,"MMMM"))</f>
        <v>OUTUBRO</v>
      </c>
    </row>
    <row r="72" spans="1:4" x14ac:dyDescent="0.25">
      <c r="A72" s="1">
        <v>42675</v>
      </c>
      <c r="B72">
        <f>YEAR('base-pms_spbrasil'!E72)</f>
        <v>2016</v>
      </c>
      <c r="C72">
        <f>MONTH('base-pms_spbrasil'!E72)</f>
        <v>11</v>
      </c>
      <c r="D72" s="3" t="str">
        <f>UPPER(TEXT('base-pms_spbrasil'!E72,"MMMM"))</f>
        <v>NOVEMBRO</v>
      </c>
    </row>
    <row r="73" spans="1:4" x14ac:dyDescent="0.25">
      <c r="A73" s="1">
        <v>42705</v>
      </c>
      <c r="B73">
        <f>YEAR('base-pms_spbrasil'!E73)</f>
        <v>2016</v>
      </c>
      <c r="C73">
        <f>MONTH('base-pms_spbrasil'!E73)</f>
        <v>12</v>
      </c>
      <c r="D73" s="3" t="str">
        <f>UPPER(TEXT('base-pms_spbrasil'!E73,"MMMM"))</f>
        <v>DEZEMBRO</v>
      </c>
    </row>
    <row r="74" spans="1:4" x14ac:dyDescent="0.25">
      <c r="A74" s="1">
        <v>42736</v>
      </c>
      <c r="B74">
        <f>YEAR('base-pms_spbrasil'!E74)</f>
        <v>2017</v>
      </c>
      <c r="C74">
        <f>MONTH('base-pms_spbrasil'!E74)</f>
        <v>1</v>
      </c>
      <c r="D74" s="3" t="str">
        <f>UPPER(TEXT('base-pms_spbrasil'!E74,"MMMM"))</f>
        <v>JANEIRO</v>
      </c>
    </row>
    <row r="75" spans="1:4" x14ac:dyDescent="0.25">
      <c r="A75" s="1">
        <v>42767</v>
      </c>
      <c r="B75">
        <f>YEAR('base-pms_spbrasil'!E75)</f>
        <v>2017</v>
      </c>
      <c r="C75">
        <f>MONTH('base-pms_spbrasil'!E75)</f>
        <v>2</v>
      </c>
      <c r="D75" s="3" t="str">
        <f>UPPER(TEXT('base-pms_spbrasil'!E75,"MMMM"))</f>
        <v>FEVEREIRO</v>
      </c>
    </row>
    <row r="76" spans="1:4" x14ac:dyDescent="0.25">
      <c r="A76" s="1">
        <v>42795</v>
      </c>
      <c r="B76">
        <f>YEAR('base-pms_spbrasil'!E76)</f>
        <v>2017</v>
      </c>
      <c r="C76">
        <f>MONTH('base-pms_spbrasil'!E76)</f>
        <v>3</v>
      </c>
      <c r="D76" s="3" t="str">
        <f>UPPER(TEXT('base-pms_spbrasil'!E76,"MMMM"))</f>
        <v>MARÇO</v>
      </c>
    </row>
    <row r="77" spans="1:4" x14ac:dyDescent="0.25">
      <c r="A77" s="1">
        <v>42826</v>
      </c>
      <c r="B77">
        <f>YEAR('base-pms_spbrasil'!E77)</f>
        <v>2017</v>
      </c>
      <c r="C77">
        <f>MONTH('base-pms_spbrasil'!E77)</f>
        <v>4</v>
      </c>
      <c r="D77" s="3" t="str">
        <f>UPPER(TEXT('base-pms_spbrasil'!E77,"MMMM"))</f>
        <v>ABRIL</v>
      </c>
    </row>
    <row r="78" spans="1:4" x14ac:dyDescent="0.25">
      <c r="A78" s="1">
        <v>42856</v>
      </c>
      <c r="B78">
        <f>YEAR('base-pms_spbrasil'!E78)</f>
        <v>2017</v>
      </c>
      <c r="C78">
        <f>MONTH('base-pms_spbrasil'!E78)</f>
        <v>5</v>
      </c>
      <c r="D78" s="3" t="str">
        <f>UPPER(TEXT('base-pms_spbrasil'!E78,"MMMM"))</f>
        <v>MAIO</v>
      </c>
    </row>
    <row r="79" spans="1:4" x14ac:dyDescent="0.25">
      <c r="A79" s="1">
        <v>42887</v>
      </c>
      <c r="B79">
        <f>YEAR('base-pms_spbrasil'!E79)</f>
        <v>2017</v>
      </c>
      <c r="C79">
        <f>MONTH('base-pms_spbrasil'!E79)</f>
        <v>6</v>
      </c>
      <c r="D79" s="3" t="str">
        <f>UPPER(TEXT('base-pms_spbrasil'!E79,"MMMM"))</f>
        <v>JUNHO</v>
      </c>
    </row>
    <row r="80" spans="1:4" x14ac:dyDescent="0.25">
      <c r="A80" s="1">
        <v>42917</v>
      </c>
      <c r="B80">
        <f>YEAR('base-pms_spbrasil'!E80)</f>
        <v>2017</v>
      </c>
      <c r="C80">
        <f>MONTH('base-pms_spbrasil'!E80)</f>
        <v>7</v>
      </c>
      <c r="D80" s="3" t="str">
        <f>UPPER(TEXT('base-pms_spbrasil'!E80,"MMMM"))</f>
        <v>JULHO</v>
      </c>
    </row>
    <row r="81" spans="1:4" x14ac:dyDescent="0.25">
      <c r="A81" s="1">
        <v>42948</v>
      </c>
      <c r="B81">
        <f>YEAR('base-pms_spbrasil'!E81)</f>
        <v>2017</v>
      </c>
      <c r="C81">
        <f>MONTH('base-pms_spbrasil'!E81)</f>
        <v>8</v>
      </c>
      <c r="D81" s="3" t="str">
        <f>UPPER(TEXT('base-pms_spbrasil'!E81,"MMMM"))</f>
        <v>AGOSTO</v>
      </c>
    </row>
    <row r="82" spans="1:4" x14ac:dyDescent="0.25">
      <c r="A82" s="1">
        <v>42979</v>
      </c>
      <c r="B82">
        <f>YEAR('base-pms_spbrasil'!E82)</f>
        <v>2017</v>
      </c>
      <c r="C82">
        <f>MONTH('base-pms_spbrasil'!E82)</f>
        <v>9</v>
      </c>
      <c r="D82" s="3" t="str">
        <f>UPPER(TEXT('base-pms_spbrasil'!E82,"MMMM"))</f>
        <v>SETEMBRO</v>
      </c>
    </row>
    <row r="83" spans="1:4" x14ac:dyDescent="0.25">
      <c r="A83" s="1">
        <v>43009</v>
      </c>
      <c r="B83">
        <f>YEAR('base-pms_spbrasil'!E83)</f>
        <v>2017</v>
      </c>
      <c r="C83">
        <f>MONTH('base-pms_spbrasil'!E83)</f>
        <v>10</v>
      </c>
      <c r="D83" s="3" t="str">
        <f>UPPER(TEXT('base-pms_spbrasil'!E83,"MMMM"))</f>
        <v>OUTUBRO</v>
      </c>
    </row>
    <row r="84" spans="1:4" x14ac:dyDescent="0.25">
      <c r="A84" s="1">
        <v>43040</v>
      </c>
      <c r="B84">
        <f>YEAR('base-pms_spbrasil'!E84)</f>
        <v>2017</v>
      </c>
      <c r="C84">
        <f>MONTH('base-pms_spbrasil'!E84)</f>
        <v>11</v>
      </c>
      <c r="D84" s="3" t="str">
        <f>UPPER(TEXT('base-pms_spbrasil'!E84,"MMMM"))</f>
        <v>NOVEMBRO</v>
      </c>
    </row>
    <row r="85" spans="1:4" x14ac:dyDescent="0.25">
      <c r="A85" s="1">
        <v>43070</v>
      </c>
      <c r="B85">
        <f>YEAR('base-pms_spbrasil'!E85)</f>
        <v>2017</v>
      </c>
      <c r="C85">
        <f>MONTH('base-pms_spbrasil'!E85)</f>
        <v>12</v>
      </c>
      <c r="D85" s="3" t="str">
        <f>UPPER(TEXT('base-pms_spbrasil'!E85,"MMMM"))</f>
        <v>DEZEMBRO</v>
      </c>
    </row>
    <row r="86" spans="1:4" x14ac:dyDescent="0.25">
      <c r="A86" s="1">
        <v>43101</v>
      </c>
      <c r="B86">
        <f>YEAR('base-pms_spbrasil'!E86)</f>
        <v>2018</v>
      </c>
      <c r="C86">
        <f>MONTH('base-pms_spbrasil'!E86)</f>
        <v>1</v>
      </c>
      <c r="D86" s="3" t="str">
        <f>UPPER(TEXT('base-pms_spbrasil'!E86,"MMMM"))</f>
        <v>JANEIRO</v>
      </c>
    </row>
    <row r="87" spans="1:4" x14ac:dyDescent="0.25">
      <c r="A87" s="1">
        <v>43132</v>
      </c>
      <c r="B87">
        <f>YEAR('base-pms_spbrasil'!E87)</f>
        <v>2018</v>
      </c>
      <c r="C87">
        <f>MONTH('base-pms_spbrasil'!E87)</f>
        <v>2</v>
      </c>
      <c r="D87" s="3" t="str">
        <f>UPPER(TEXT('base-pms_spbrasil'!E87,"MMMM"))</f>
        <v>FEVEREIRO</v>
      </c>
    </row>
    <row r="88" spans="1:4" x14ac:dyDescent="0.25">
      <c r="A88" s="1">
        <v>43160</v>
      </c>
      <c r="B88">
        <f>YEAR('base-pms_spbrasil'!E88)</f>
        <v>2018</v>
      </c>
      <c r="C88">
        <f>MONTH('base-pms_spbrasil'!E88)</f>
        <v>3</v>
      </c>
      <c r="D88" s="3" t="str">
        <f>UPPER(TEXT('base-pms_spbrasil'!E88,"MMMM"))</f>
        <v>MARÇO</v>
      </c>
    </row>
    <row r="89" spans="1:4" x14ac:dyDescent="0.25">
      <c r="A89" s="1">
        <v>43191</v>
      </c>
      <c r="B89">
        <f>YEAR('base-pms_spbrasil'!E89)</f>
        <v>2018</v>
      </c>
      <c r="C89">
        <f>MONTH('base-pms_spbrasil'!E89)</f>
        <v>4</v>
      </c>
      <c r="D89" s="3" t="str">
        <f>UPPER(TEXT('base-pms_spbrasil'!E89,"MMMM"))</f>
        <v>ABRIL</v>
      </c>
    </row>
    <row r="90" spans="1:4" x14ac:dyDescent="0.25">
      <c r="A90" s="1">
        <v>43221</v>
      </c>
      <c r="B90">
        <f>YEAR('base-pms_spbrasil'!E90)</f>
        <v>2018</v>
      </c>
      <c r="C90">
        <f>MONTH('base-pms_spbrasil'!E90)</f>
        <v>5</v>
      </c>
      <c r="D90" s="3" t="str">
        <f>UPPER(TEXT('base-pms_spbrasil'!E90,"MMMM"))</f>
        <v>MAIO</v>
      </c>
    </row>
    <row r="91" spans="1:4" x14ac:dyDescent="0.25">
      <c r="A91" s="1">
        <v>43252</v>
      </c>
      <c r="B91">
        <f>YEAR('base-pms_spbrasil'!E91)</f>
        <v>2018</v>
      </c>
      <c r="C91">
        <f>MONTH('base-pms_spbrasil'!E91)</f>
        <v>6</v>
      </c>
      <c r="D91" s="3" t="str">
        <f>UPPER(TEXT('base-pms_spbrasil'!E91,"MMMM"))</f>
        <v>JUNHO</v>
      </c>
    </row>
    <row r="92" spans="1:4" x14ac:dyDescent="0.25">
      <c r="A92" s="1">
        <v>43282</v>
      </c>
      <c r="B92">
        <f>YEAR('base-pms_spbrasil'!E92)</f>
        <v>2018</v>
      </c>
      <c r="C92">
        <f>MONTH('base-pms_spbrasil'!E92)</f>
        <v>7</v>
      </c>
      <c r="D92" s="3" t="str">
        <f>UPPER(TEXT('base-pms_spbrasil'!E92,"MMMM"))</f>
        <v>JULHO</v>
      </c>
    </row>
    <row r="93" spans="1:4" x14ac:dyDescent="0.25">
      <c r="A93" s="1">
        <v>43313</v>
      </c>
      <c r="B93">
        <f>YEAR('base-pms_spbrasil'!E93)</f>
        <v>2018</v>
      </c>
      <c r="C93">
        <f>MONTH('base-pms_spbrasil'!E93)</f>
        <v>8</v>
      </c>
      <c r="D93" s="3" t="str">
        <f>UPPER(TEXT('base-pms_spbrasil'!E93,"MMMM"))</f>
        <v>AGOSTO</v>
      </c>
    </row>
    <row r="94" spans="1:4" x14ac:dyDescent="0.25">
      <c r="A94" s="1">
        <v>43344</v>
      </c>
      <c r="B94">
        <f>YEAR('base-pms_spbrasil'!E94)</f>
        <v>2018</v>
      </c>
      <c r="C94">
        <f>MONTH('base-pms_spbrasil'!E94)</f>
        <v>9</v>
      </c>
      <c r="D94" s="3" t="str">
        <f>UPPER(TEXT('base-pms_spbrasil'!E94,"MMMM"))</f>
        <v>SETEMBRO</v>
      </c>
    </row>
    <row r="95" spans="1:4" x14ac:dyDescent="0.25">
      <c r="A95" s="1">
        <v>43374</v>
      </c>
      <c r="B95">
        <f>YEAR('base-pms_spbrasil'!E95)</f>
        <v>2018</v>
      </c>
      <c r="C95">
        <f>MONTH('base-pms_spbrasil'!E95)</f>
        <v>10</v>
      </c>
      <c r="D95" s="3" t="str">
        <f>UPPER(TEXT('base-pms_spbrasil'!E95,"MMMM"))</f>
        <v>OUTUBRO</v>
      </c>
    </row>
    <row r="96" spans="1:4" x14ac:dyDescent="0.25">
      <c r="A96" s="1">
        <v>43405</v>
      </c>
      <c r="B96">
        <f>YEAR('base-pms_spbrasil'!E96)</f>
        <v>2018</v>
      </c>
      <c r="C96">
        <f>MONTH('base-pms_spbrasil'!E96)</f>
        <v>11</v>
      </c>
      <c r="D96" s="3" t="str">
        <f>UPPER(TEXT('base-pms_spbrasil'!E96,"MMMM"))</f>
        <v>NOVEMBRO</v>
      </c>
    </row>
    <row r="97" spans="1:4" x14ac:dyDescent="0.25">
      <c r="A97" s="1">
        <v>43435</v>
      </c>
      <c r="B97">
        <f>YEAR('base-pms_spbrasil'!E97)</f>
        <v>2018</v>
      </c>
      <c r="C97">
        <f>MONTH('base-pms_spbrasil'!E97)</f>
        <v>12</v>
      </c>
      <c r="D97" s="3" t="str">
        <f>UPPER(TEXT('base-pms_spbrasil'!E97,"MMMM"))</f>
        <v>DEZEMBRO</v>
      </c>
    </row>
    <row r="98" spans="1:4" x14ac:dyDescent="0.25">
      <c r="A98" s="1">
        <v>43466</v>
      </c>
      <c r="B98">
        <f>YEAR('base-pms_spbrasil'!E98)</f>
        <v>2019</v>
      </c>
      <c r="C98">
        <f>MONTH('base-pms_spbrasil'!E98)</f>
        <v>1</v>
      </c>
      <c r="D98" s="3" t="str">
        <f>UPPER(TEXT('base-pms_spbrasil'!E98,"MMMM"))</f>
        <v>JANEIRO</v>
      </c>
    </row>
    <row r="99" spans="1:4" x14ac:dyDescent="0.25">
      <c r="A99" s="1">
        <v>43497</v>
      </c>
      <c r="B99">
        <f>YEAR('base-pms_spbrasil'!E99)</f>
        <v>2019</v>
      </c>
      <c r="C99">
        <f>MONTH('base-pms_spbrasil'!E99)</f>
        <v>2</v>
      </c>
      <c r="D99" s="3" t="str">
        <f>UPPER(TEXT('base-pms_spbrasil'!E99,"MMMM"))</f>
        <v>FEVEREIRO</v>
      </c>
    </row>
    <row r="100" spans="1:4" x14ac:dyDescent="0.25">
      <c r="A100" s="1">
        <v>43525</v>
      </c>
      <c r="B100">
        <f>YEAR('base-pms_spbrasil'!E100)</f>
        <v>2019</v>
      </c>
      <c r="C100">
        <f>MONTH('base-pms_spbrasil'!E100)</f>
        <v>3</v>
      </c>
      <c r="D100" s="3" t="str">
        <f>UPPER(TEXT('base-pms_spbrasil'!E100,"MMMM"))</f>
        <v>MARÇO</v>
      </c>
    </row>
    <row r="101" spans="1:4" x14ac:dyDescent="0.25">
      <c r="A101" s="1">
        <v>43556</v>
      </c>
      <c r="B101">
        <f>YEAR('base-pms_spbrasil'!E101)</f>
        <v>2019</v>
      </c>
      <c r="C101">
        <f>MONTH('base-pms_spbrasil'!E101)</f>
        <v>4</v>
      </c>
      <c r="D101" s="3" t="str">
        <f>UPPER(TEXT('base-pms_spbrasil'!E101,"MMMM"))</f>
        <v>ABRIL</v>
      </c>
    </row>
    <row r="102" spans="1:4" x14ac:dyDescent="0.25">
      <c r="A102" s="1">
        <v>43586</v>
      </c>
      <c r="B102">
        <f>YEAR('base-pms_spbrasil'!E102)</f>
        <v>2019</v>
      </c>
      <c r="C102">
        <f>MONTH('base-pms_spbrasil'!E102)</f>
        <v>5</v>
      </c>
      <c r="D102" s="3" t="str">
        <f>UPPER(TEXT('base-pms_spbrasil'!E102,"MMMM"))</f>
        <v>MAIO</v>
      </c>
    </row>
    <row r="103" spans="1:4" x14ac:dyDescent="0.25">
      <c r="A103" s="1">
        <v>43617</v>
      </c>
      <c r="B103">
        <f>YEAR('base-pms_spbrasil'!E103)</f>
        <v>2019</v>
      </c>
      <c r="C103">
        <f>MONTH('base-pms_spbrasil'!E103)</f>
        <v>6</v>
      </c>
      <c r="D103" s="3" t="str">
        <f>UPPER(TEXT('base-pms_spbrasil'!E103,"MMMM"))</f>
        <v>JUNHO</v>
      </c>
    </row>
    <row r="104" spans="1:4" x14ac:dyDescent="0.25">
      <c r="A104" s="1">
        <v>43647</v>
      </c>
      <c r="B104">
        <f>YEAR('base-pms_spbrasil'!E104)</f>
        <v>2019</v>
      </c>
      <c r="C104">
        <f>MONTH('base-pms_spbrasil'!E104)</f>
        <v>7</v>
      </c>
      <c r="D104" s="3" t="str">
        <f>UPPER(TEXT('base-pms_spbrasil'!E104,"MMMM"))</f>
        <v>JULHO</v>
      </c>
    </row>
    <row r="105" spans="1:4" x14ac:dyDescent="0.25">
      <c r="A105" s="1">
        <v>43678</v>
      </c>
      <c r="B105">
        <f>YEAR('base-pms_spbrasil'!E105)</f>
        <v>2019</v>
      </c>
      <c r="C105">
        <f>MONTH('base-pms_spbrasil'!E105)</f>
        <v>8</v>
      </c>
      <c r="D105" s="3" t="str">
        <f>UPPER(TEXT('base-pms_spbrasil'!E105,"MMMM"))</f>
        <v>AGOSTO</v>
      </c>
    </row>
    <row r="106" spans="1:4" x14ac:dyDescent="0.25">
      <c r="A106" s="1">
        <v>43709</v>
      </c>
      <c r="B106">
        <f>YEAR('base-pms_spbrasil'!E106)</f>
        <v>2019</v>
      </c>
      <c r="C106">
        <f>MONTH('base-pms_spbrasil'!E106)</f>
        <v>9</v>
      </c>
      <c r="D106" s="3" t="str">
        <f>UPPER(TEXT('base-pms_spbrasil'!E106,"MMMM"))</f>
        <v>SETEMBRO</v>
      </c>
    </row>
    <row r="107" spans="1:4" x14ac:dyDescent="0.25">
      <c r="A107" s="1">
        <v>43739</v>
      </c>
      <c r="B107">
        <f>YEAR('base-pms_spbrasil'!E107)</f>
        <v>2019</v>
      </c>
      <c r="C107">
        <f>MONTH('base-pms_spbrasil'!E107)</f>
        <v>10</v>
      </c>
      <c r="D107" s="3" t="str">
        <f>UPPER(TEXT('base-pms_spbrasil'!E107,"MMMM"))</f>
        <v>OUTUBRO</v>
      </c>
    </row>
    <row r="108" spans="1:4" x14ac:dyDescent="0.25">
      <c r="A108" s="1">
        <v>43770</v>
      </c>
      <c r="B108">
        <f>YEAR('base-pms_spbrasil'!E108)</f>
        <v>2019</v>
      </c>
      <c r="C108">
        <f>MONTH('base-pms_spbrasil'!E108)</f>
        <v>11</v>
      </c>
      <c r="D108" s="3" t="str">
        <f>UPPER(TEXT('base-pms_spbrasil'!E108,"MMMM"))</f>
        <v>NOVEMBRO</v>
      </c>
    </row>
    <row r="109" spans="1:4" x14ac:dyDescent="0.25">
      <c r="A109" s="1">
        <v>43800</v>
      </c>
      <c r="B109">
        <f>YEAR('base-pms_spbrasil'!E109)</f>
        <v>2019</v>
      </c>
      <c r="C109">
        <f>MONTH('base-pms_spbrasil'!E109)</f>
        <v>12</v>
      </c>
      <c r="D109" s="3" t="str">
        <f>UPPER(TEXT('base-pms_spbrasil'!E109,"MMMM"))</f>
        <v>DEZEMBRO</v>
      </c>
    </row>
    <row r="110" spans="1:4" x14ac:dyDescent="0.25">
      <c r="A110" s="1">
        <v>43831</v>
      </c>
      <c r="B110">
        <f>YEAR('base-pms_spbrasil'!E110)</f>
        <v>2020</v>
      </c>
      <c r="C110">
        <f>MONTH('base-pms_spbrasil'!E110)</f>
        <v>1</v>
      </c>
      <c r="D110" s="3" t="str">
        <f>UPPER(TEXT('base-pms_spbrasil'!E110,"MMMM"))</f>
        <v>JANEIRO</v>
      </c>
    </row>
    <row r="111" spans="1:4" x14ac:dyDescent="0.25">
      <c r="A111" s="1">
        <v>43862</v>
      </c>
      <c r="B111">
        <f>YEAR('base-pms_spbrasil'!E111)</f>
        <v>2020</v>
      </c>
      <c r="C111">
        <f>MONTH('base-pms_spbrasil'!E111)</f>
        <v>2</v>
      </c>
      <c r="D111" s="3" t="str">
        <f>UPPER(TEXT('base-pms_spbrasil'!E111,"MMMM"))</f>
        <v>FEVEREIRO</v>
      </c>
    </row>
    <row r="112" spans="1:4" x14ac:dyDescent="0.25">
      <c r="A112" s="1">
        <v>43891</v>
      </c>
      <c r="B112">
        <f>YEAR('base-pms_spbrasil'!E112)</f>
        <v>2020</v>
      </c>
      <c r="C112">
        <f>MONTH('base-pms_spbrasil'!E112)</f>
        <v>3</v>
      </c>
      <c r="D112" s="3" t="str">
        <f>UPPER(TEXT('base-pms_spbrasil'!E112,"MMMM"))</f>
        <v>MARÇO</v>
      </c>
    </row>
    <row r="113" spans="1:4" x14ac:dyDescent="0.25">
      <c r="A113" s="1">
        <v>43922</v>
      </c>
      <c r="B113">
        <f>YEAR('base-pms_spbrasil'!E113)</f>
        <v>2020</v>
      </c>
      <c r="C113">
        <f>MONTH('base-pms_spbrasil'!E113)</f>
        <v>4</v>
      </c>
      <c r="D113" s="3" t="str">
        <f>UPPER(TEXT('base-pms_spbrasil'!E113,"MMMM"))</f>
        <v>ABRIL</v>
      </c>
    </row>
    <row r="114" spans="1:4" x14ac:dyDescent="0.25">
      <c r="A114" s="1">
        <v>43952</v>
      </c>
      <c r="B114">
        <f>YEAR('base-pms_spbrasil'!E114)</f>
        <v>2020</v>
      </c>
      <c r="C114">
        <f>MONTH('base-pms_spbrasil'!E114)</f>
        <v>5</v>
      </c>
      <c r="D114" s="3" t="str">
        <f>UPPER(TEXT('base-pms_spbrasil'!E114,"MMMM"))</f>
        <v>MAIO</v>
      </c>
    </row>
    <row r="115" spans="1:4" x14ac:dyDescent="0.25">
      <c r="A115" s="1">
        <v>43983</v>
      </c>
      <c r="B115">
        <f>YEAR('base-pms_spbrasil'!E115)</f>
        <v>2020</v>
      </c>
      <c r="C115">
        <f>MONTH('base-pms_spbrasil'!E115)</f>
        <v>6</v>
      </c>
      <c r="D115" s="3" t="str">
        <f>UPPER(TEXT('base-pms_spbrasil'!E115,"MMMM"))</f>
        <v>JUNHO</v>
      </c>
    </row>
    <row r="116" spans="1:4" x14ac:dyDescent="0.25">
      <c r="A116" s="1">
        <v>44013</v>
      </c>
      <c r="B116">
        <f>YEAR('base-pms_spbrasil'!E116)</f>
        <v>2020</v>
      </c>
      <c r="C116">
        <f>MONTH('base-pms_spbrasil'!E116)</f>
        <v>7</v>
      </c>
      <c r="D116" s="3" t="str">
        <f>UPPER(TEXT('base-pms_spbrasil'!E116,"MMMM"))</f>
        <v>JULHO</v>
      </c>
    </row>
    <row r="117" spans="1:4" x14ac:dyDescent="0.25">
      <c r="A117" s="1">
        <v>44044</v>
      </c>
      <c r="B117">
        <f>YEAR('base-pms_spbrasil'!E117)</f>
        <v>2020</v>
      </c>
      <c r="C117">
        <f>MONTH('base-pms_spbrasil'!E117)</f>
        <v>8</v>
      </c>
      <c r="D117" s="3" t="str">
        <f>UPPER(TEXT('base-pms_spbrasil'!E117,"MMMM"))</f>
        <v>AGOSTO</v>
      </c>
    </row>
    <row r="118" spans="1:4" x14ac:dyDescent="0.25">
      <c r="A118" s="1">
        <v>44075</v>
      </c>
      <c r="B118">
        <f>YEAR('base-pms_spbrasil'!E118)</f>
        <v>2020</v>
      </c>
      <c r="C118">
        <f>MONTH('base-pms_spbrasil'!E118)</f>
        <v>9</v>
      </c>
      <c r="D118" s="3" t="str">
        <f>UPPER(TEXT('base-pms_spbrasil'!E118,"MMMM"))</f>
        <v>SETEMBRO</v>
      </c>
    </row>
    <row r="119" spans="1:4" x14ac:dyDescent="0.25">
      <c r="A119" s="1">
        <v>44105</v>
      </c>
      <c r="B119">
        <f>YEAR('base-pms_spbrasil'!E119)</f>
        <v>2020</v>
      </c>
      <c r="C119">
        <f>MONTH('base-pms_spbrasil'!E119)</f>
        <v>10</v>
      </c>
      <c r="D119" s="3" t="str">
        <f>UPPER(TEXT('base-pms_spbrasil'!E119,"MMMM"))</f>
        <v>OUTUBRO</v>
      </c>
    </row>
    <row r="120" spans="1:4" x14ac:dyDescent="0.25">
      <c r="A120" s="1">
        <v>44136</v>
      </c>
      <c r="B120">
        <f>YEAR('base-pms_spbrasil'!E120)</f>
        <v>2020</v>
      </c>
      <c r="C120">
        <f>MONTH('base-pms_spbrasil'!E120)</f>
        <v>11</v>
      </c>
      <c r="D120" s="3" t="str">
        <f>UPPER(TEXT('base-pms_spbrasil'!E120,"MMMM"))</f>
        <v>NOVEMBRO</v>
      </c>
    </row>
    <row r="121" spans="1:4" x14ac:dyDescent="0.25">
      <c r="A121" s="1">
        <v>44166</v>
      </c>
      <c r="B121">
        <f>YEAR('base-pms_spbrasil'!E121)</f>
        <v>2020</v>
      </c>
      <c r="C121">
        <f>MONTH('base-pms_spbrasil'!E121)</f>
        <v>12</v>
      </c>
      <c r="D121" s="3" t="str">
        <f>UPPER(TEXT('base-pms_spbrasil'!E121,"MMMM"))</f>
        <v>DEZEMBRO</v>
      </c>
    </row>
    <row r="122" spans="1:4" x14ac:dyDescent="0.25">
      <c r="A122" s="1">
        <v>44197</v>
      </c>
      <c r="B122">
        <f>YEAR('base-pms_spbrasil'!E122)</f>
        <v>2021</v>
      </c>
      <c r="C122">
        <f>MONTH('base-pms_spbrasil'!E122)</f>
        <v>1</v>
      </c>
      <c r="D122" s="3" t="str">
        <f>UPPER(TEXT('base-pms_spbrasil'!E122,"MMMM"))</f>
        <v>JANEIRO</v>
      </c>
    </row>
    <row r="123" spans="1:4" x14ac:dyDescent="0.25">
      <c r="A123" s="1">
        <v>44228</v>
      </c>
      <c r="B123">
        <f>YEAR('base-pms_spbrasil'!E123)</f>
        <v>2021</v>
      </c>
      <c r="C123">
        <f>MONTH('base-pms_spbrasil'!E123)</f>
        <v>2</v>
      </c>
      <c r="D123" s="3" t="str">
        <f>UPPER(TEXT('base-pms_spbrasil'!E123,"MMMM"))</f>
        <v>FEVEREIRO</v>
      </c>
    </row>
    <row r="124" spans="1:4" x14ac:dyDescent="0.25">
      <c r="A124" s="1">
        <v>44256</v>
      </c>
      <c r="B124">
        <f>YEAR('base-pms_spbrasil'!E124)</f>
        <v>2021</v>
      </c>
      <c r="C124">
        <f>MONTH('base-pms_spbrasil'!E124)</f>
        <v>3</v>
      </c>
      <c r="D124" s="3" t="str">
        <f>UPPER(TEXT('base-pms_spbrasil'!E124,"MMMM"))</f>
        <v>MARÇO</v>
      </c>
    </row>
    <row r="125" spans="1:4" x14ac:dyDescent="0.25">
      <c r="A125" s="1">
        <v>44287</v>
      </c>
      <c r="B125">
        <f>YEAR('base-pms_spbrasil'!E125)</f>
        <v>2021</v>
      </c>
      <c r="C125">
        <f>MONTH('base-pms_spbrasil'!E125)</f>
        <v>4</v>
      </c>
      <c r="D125" s="3" t="str">
        <f>UPPER(TEXT('base-pms_spbrasil'!E125,"MMMM"))</f>
        <v>ABRIL</v>
      </c>
    </row>
    <row r="126" spans="1:4" x14ac:dyDescent="0.25">
      <c r="A126" s="1">
        <v>44317</v>
      </c>
      <c r="B126">
        <f>YEAR('base-pms_spbrasil'!E126)</f>
        <v>2021</v>
      </c>
      <c r="C126">
        <f>MONTH('base-pms_spbrasil'!E126)</f>
        <v>5</v>
      </c>
      <c r="D126" s="3" t="str">
        <f>UPPER(TEXT('base-pms_spbrasil'!E126,"MMMM"))</f>
        <v>MAIO</v>
      </c>
    </row>
    <row r="127" spans="1:4" x14ac:dyDescent="0.25">
      <c r="A127" s="1">
        <v>44348</v>
      </c>
      <c r="B127">
        <f>YEAR('base-pms_spbrasil'!E127)</f>
        <v>2021</v>
      </c>
      <c r="C127">
        <f>MONTH('base-pms_spbrasil'!E127)</f>
        <v>6</v>
      </c>
      <c r="D127" s="3" t="str">
        <f>UPPER(TEXT('base-pms_spbrasil'!E127,"MMMM"))</f>
        <v>JUNHO</v>
      </c>
    </row>
    <row r="128" spans="1:4" x14ac:dyDescent="0.25">
      <c r="A128" s="1">
        <v>44378</v>
      </c>
      <c r="B128">
        <f>YEAR('base-pms_spbrasil'!E128)</f>
        <v>2021</v>
      </c>
      <c r="C128">
        <f>MONTH('base-pms_spbrasil'!E128)</f>
        <v>7</v>
      </c>
      <c r="D128" s="3" t="str">
        <f>UPPER(TEXT('base-pms_spbrasil'!E128,"MMMM"))</f>
        <v>JULHO</v>
      </c>
    </row>
    <row r="129" spans="1:4" x14ac:dyDescent="0.25">
      <c r="A129" s="1">
        <v>44409</v>
      </c>
      <c r="B129">
        <f>YEAR('base-pms_spbrasil'!E129)</f>
        <v>2021</v>
      </c>
      <c r="C129">
        <f>MONTH('base-pms_spbrasil'!E129)</f>
        <v>8</v>
      </c>
      <c r="D129" s="3" t="str">
        <f>UPPER(TEXT('base-pms_spbrasil'!E129,"MMMM"))</f>
        <v>AGOSTO</v>
      </c>
    </row>
    <row r="130" spans="1:4" x14ac:dyDescent="0.25">
      <c r="A130" s="1">
        <v>44440</v>
      </c>
      <c r="B130">
        <f>YEAR('base-pms_spbrasil'!E130)</f>
        <v>2021</v>
      </c>
      <c r="C130">
        <f>MONTH('base-pms_spbrasil'!E130)</f>
        <v>9</v>
      </c>
      <c r="D130" s="3" t="str">
        <f>UPPER(TEXT('base-pms_spbrasil'!E130,"MMMM"))</f>
        <v>SETEMBRO</v>
      </c>
    </row>
    <row r="131" spans="1:4" x14ac:dyDescent="0.25">
      <c r="A131" s="1">
        <v>44470</v>
      </c>
      <c r="B131">
        <f>YEAR('base-pms_spbrasil'!E131)</f>
        <v>2021</v>
      </c>
      <c r="C131">
        <f>MONTH('base-pms_spbrasil'!E131)</f>
        <v>10</v>
      </c>
      <c r="D131" s="3" t="str">
        <f>UPPER(TEXT('base-pms_spbrasil'!E131,"MMMM"))</f>
        <v>OUTUBRO</v>
      </c>
    </row>
    <row r="132" spans="1:4" x14ac:dyDescent="0.25">
      <c r="A132" s="1">
        <v>44501</v>
      </c>
      <c r="B132">
        <f>YEAR('base-pms_spbrasil'!E132)</f>
        <v>2021</v>
      </c>
      <c r="C132">
        <f>MONTH('base-pms_spbrasil'!E132)</f>
        <v>11</v>
      </c>
      <c r="D132" s="3" t="str">
        <f>UPPER(TEXT('base-pms_spbrasil'!E132,"MMMM"))</f>
        <v>NOVEMBRO</v>
      </c>
    </row>
    <row r="133" spans="1:4" x14ac:dyDescent="0.25">
      <c r="A133" s="1">
        <v>44531</v>
      </c>
      <c r="B133">
        <f>YEAR('base-pms_spbrasil'!E133)</f>
        <v>2021</v>
      </c>
      <c r="C133">
        <f>MONTH('base-pms_spbrasil'!E133)</f>
        <v>12</v>
      </c>
      <c r="D133" s="3" t="str">
        <f>UPPER(TEXT('base-pms_spbrasil'!E133,"MMMM"))</f>
        <v>DEZEMBRO</v>
      </c>
    </row>
    <row r="134" spans="1:4" x14ac:dyDescent="0.25">
      <c r="A134" s="1">
        <v>44562</v>
      </c>
      <c r="B134">
        <f>YEAR('base-pms_spbrasil'!E134)</f>
        <v>2022</v>
      </c>
      <c r="C134">
        <f>MONTH('base-pms_spbrasil'!E134)</f>
        <v>1</v>
      </c>
      <c r="D134" s="3" t="str">
        <f>UPPER(TEXT('base-pms_spbrasil'!E134,"MMMM"))</f>
        <v>JANEIRO</v>
      </c>
    </row>
    <row r="135" spans="1:4" x14ac:dyDescent="0.25">
      <c r="A135" s="1">
        <v>44593</v>
      </c>
      <c r="B135">
        <f>YEAR('base-pms_spbrasil'!E135)</f>
        <v>2022</v>
      </c>
      <c r="C135">
        <f>MONTH('base-pms_spbrasil'!E135)</f>
        <v>2</v>
      </c>
      <c r="D135" s="3" t="str">
        <f>UPPER(TEXT('base-pms_spbrasil'!E135,"MMMM"))</f>
        <v>FEVEREIRO</v>
      </c>
    </row>
    <row r="136" spans="1:4" x14ac:dyDescent="0.25">
      <c r="A136" s="1">
        <v>44621</v>
      </c>
      <c r="B136">
        <f>YEAR('base-pms_spbrasil'!E136)</f>
        <v>2022</v>
      </c>
      <c r="C136">
        <f>MONTH('base-pms_spbrasil'!E136)</f>
        <v>3</v>
      </c>
      <c r="D136" s="3" t="str">
        <f>UPPER(TEXT('base-pms_spbrasil'!E136,"MMMM"))</f>
        <v>MARÇO</v>
      </c>
    </row>
    <row r="137" spans="1:4" x14ac:dyDescent="0.25">
      <c r="A137" s="1">
        <v>44652</v>
      </c>
      <c r="B137">
        <f>YEAR('base-pms_spbrasil'!E137)</f>
        <v>2022</v>
      </c>
      <c r="C137">
        <f>MONTH('base-pms_spbrasil'!E137)</f>
        <v>4</v>
      </c>
      <c r="D137" s="3" t="str">
        <f>UPPER(TEXT('base-pms_spbrasil'!E137,"MMMM"))</f>
        <v>ABRIL</v>
      </c>
    </row>
    <row r="138" spans="1:4" x14ac:dyDescent="0.25">
      <c r="A138" s="1">
        <v>44682</v>
      </c>
      <c r="B138">
        <f>YEAR('base-pms_spbrasil'!E138)</f>
        <v>2022</v>
      </c>
      <c r="C138">
        <f>MONTH('base-pms_spbrasil'!E138)</f>
        <v>5</v>
      </c>
      <c r="D138" s="3" t="str">
        <f>UPPER(TEXT('base-pms_spbrasil'!E138,"MMMM"))</f>
        <v>MAIO</v>
      </c>
    </row>
    <row r="139" spans="1:4" x14ac:dyDescent="0.25">
      <c r="A139" s="1">
        <v>44713</v>
      </c>
      <c r="B139">
        <f>YEAR('base-pms_spbrasil'!E139)</f>
        <v>2022</v>
      </c>
      <c r="C139">
        <f>MONTH('base-pms_spbrasil'!E139)</f>
        <v>6</v>
      </c>
      <c r="D139" s="3" t="str">
        <f>UPPER(TEXT('base-pms_spbrasil'!E139,"MMMM"))</f>
        <v>JUNHO</v>
      </c>
    </row>
    <row r="140" spans="1:4" x14ac:dyDescent="0.25">
      <c r="A140" s="1">
        <v>44743</v>
      </c>
      <c r="B140">
        <f>YEAR('base-pms_spbrasil'!E140)</f>
        <v>2022</v>
      </c>
      <c r="C140">
        <f>MONTH('base-pms_spbrasil'!E140)</f>
        <v>7</v>
      </c>
      <c r="D140" s="3" t="str">
        <f>UPPER(TEXT('base-pms_spbrasil'!E140,"MMMM"))</f>
        <v>JULHO</v>
      </c>
    </row>
    <row r="141" spans="1:4" x14ac:dyDescent="0.25">
      <c r="A141" s="1">
        <v>44774</v>
      </c>
      <c r="B141">
        <f>YEAR('base-pms_spbrasil'!E141)</f>
        <v>2022</v>
      </c>
      <c r="C141">
        <f>MONTH('base-pms_spbrasil'!E141)</f>
        <v>8</v>
      </c>
      <c r="D141" s="3" t="str">
        <f>UPPER(TEXT('base-pms_spbrasil'!E141,"MMMM"))</f>
        <v>AGOSTO</v>
      </c>
    </row>
    <row r="142" spans="1:4" x14ac:dyDescent="0.25">
      <c r="A142" s="1">
        <v>44805</v>
      </c>
      <c r="B142">
        <f>YEAR('base-pms_spbrasil'!E142)</f>
        <v>2022</v>
      </c>
      <c r="C142">
        <f>MONTH('base-pms_spbrasil'!E142)</f>
        <v>9</v>
      </c>
      <c r="D142" s="3" t="str">
        <f>UPPER(TEXT('base-pms_spbrasil'!E142,"MMMM"))</f>
        <v>SETEMBRO</v>
      </c>
    </row>
    <row r="143" spans="1:4" x14ac:dyDescent="0.25">
      <c r="A143" s="1">
        <v>44835</v>
      </c>
      <c r="B143">
        <f>YEAR('base-pms_spbrasil'!E143)</f>
        <v>2022</v>
      </c>
      <c r="C143">
        <f>MONTH('base-pms_spbrasil'!E143)</f>
        <v>10</v>
      </c>
      <c r="D143" s="3" t="str">
        <f>UPPER(TEXT('base-pms_spbrasil'!E143,"MMMM"))</f>
        <v>OUTUBRO</v>
      </c>
    </row>
    <row r="144" spans="1:4" x14ac:dyDescent="0.25">
      <c r="A144" s="1">
        <v>44866</v>
      </c>
      <c r="B144">
        <f>YEAR('base-pms_spbrasil'!E144)</f>
        <v>2022</v>
      </c>
      <c r="C144">
        <f>MONTH('base-pms_spbrasil'!E144)</f>
        <v>11</v>
      </c>
      <c r="D144" s="3" t="str">
        <f>UPPER(TEXT('base-pms_spbrasil'!E144,"MMMM"))</f>
        <v>NOVEMBRO</v>
      </c>
    </row>
    <row r="145" spans="1:4" x14ac:dyDescent="0.25">
      <c r="A145" s="1">
        <v>44896</v>
      </c>
      <c r="B145">
        <f>YEAR('base-pms_spbrasil'!E145)</f>
        <v>2022</v>
      </c>
      <c r="C145">
        <f>MONTH('base-pms_spbrasil'!E145)</f>
        <v>12</v>
      </c>
      <c r="D145" s="3" t="str">
        <f>UPPER(TEXT('base-pms_spbrasil'!E145,"MMMM"))</f>
        <v>DEZEMBRO</v>
      </c>
    </row>
    <row r="146" spans="1:4" x14ac:dyDescent="0.25">
      <c r="A146" s="1">
        <v>44927</v>
      </c>
      <c r="B146">
        <f>YEAR('base-pms_spbrasil'!E146)</f>
        <v>2023</v>
      </c>
      <c r="C146">
        <f>MONTH('base-pms_spbrasil'!E146)</f>
        <v>1</v>
      </c>
      <c r="D146" s="3" t="str">
        <f>UPPER(TEXT('base-pms_spbrasil'!E146,"MMMM"))</f>
        <v>JANEIRO</v>
      </c>
    </row>
    <row r="147" spans="1:4" x14ac:dyDescent="0.25">
      <c r="A147" s="1">
        <v>44958</v>
      </c>
      <c r="B147">
        <f>YEAR('base-pms_spbrasil'!E147)</f>
        <v>2023</v>
      </c>
      <c r="C147">
        <f>MONTH('base-pms_spbrasil'!E147)</f>
        <v>2</v>
      </c>
      <c r="D147" s="3" t="str">
        <f>UPPER(TEXT('base-pms_spbrasil'!E147,"MMMM"))</f>
        <v>FEVEREIRO</v>
      </c>
    </row>
    <row r="148" spans="1:4" x14ac:dyDescent="0.25">
      <c r="A148" s="1">
        <v>44986</v>
      </c>
      <c r="B148">
        <f>YEAR('base-pms_spbrasil'!E148)</f>
        <v>2023</v>
      </c>
      <c r="C148">
        <f>MONTH('base-pms_spbrasil'!E148)</f>
        <v>3</v>
      </c>
      <c r="D148" s="3" t="str">
        <f>UPPER(TEXT('base-pms_spbrasil'!E148,"MMMM"))</f>
        <v>MARÇO</v>
      </c>
    </row>
    <row r="149" spans="1:4" x14ac:dyDescent="0.25">
      <c r="A149" s="1">
        <v>45017</v>
      </c>
      <c r="B149">
        <f>YEAR('base-pms_spbrasil'!E149)</f>
        <v>2023</v>
      </c>
      <c r="C149">
        <f>MONTH('base-pms_spbrasil'!E149)</f>
        <v>4</v>
      </c>
      <c r="D149" s="3" t="str">
        <f>UPPER(TEXT('base-pms_spbrasil'!E149,"MMMM"))</f>
        <v>ABRIL</v>
      </c>
    </row>
    <row r="150" spans="1:4" x14ac:dyDescent="0.25">
      <c r="A150" s="1">
        <v>45047</v>
      </c>
      <c r="B150">
        <f>YEAR('base-pms_spbrasil'!E150)</f>
        <v>2023</v>
      </c>
      <c r="C150">
        <f>MONTH('base-pms_spbrasil'!E150)</f>
        <v>5</v>
      </c>
      <c r="D150" s="3" t="str">
        <f>UPPER(TEXT('base-pms_spbrasil'!E150,"MMMM"))</f>
        <v>MAIO</v>
      </c>
    </row>
    <row r="151" spans="1:4" x14ac:dyDescent="0.25">
      <c r="A151" s="1">
        <v>45078</v>
      </c>
      <c r="B151">
        <f>YEAR('base-pms_spbrasil'!E151)</f>
        <v>2023</v>
      </c>
      <c r="C151">
        <f>MONTH('base-pms_spbrasil'!E151)</f>
        <v>6</v>
      </c>
      <c r="D151" s="3" t="str">
        <f>UPPER(TEXT('base-pms_spbrasil'!E151,"MMMM"))</f>
        <v>JUNHO</v>
      </c>
    </row>
    <row r="152" spans="1:4" x14ac:dyDescent="0.25">
      <c r="A152" s="1">
        <v>45108</v>
      </c>
      <c r="B152">
        <f>YEAR('base-pms_spbrasil'!E152)</f>
        <v>2023</v>
      </c>
      <c r="C152">
        <f>MONTH('base-pms_spbrasil'!E152)</f>
        <v>7</v>
      </c>
      <c r="D152" s="3" t="str">
        <f>UPPER(TEXT('base-pms_spbrasil'!E152,"MMMM"))</f>
        <v>JULHO</v>
      </c>
    </row>
    <row r="153" spans="1:4" x14ac:dyDescent="0.25">
      <c r="A153" s="1">
        <v>45139</v>
      </c>
      <c r="B153">
        <f>YEAR('base-pms_spbrasil'!E153)</f>
        <v>2023</v>
      </c>
      <c r="C153">
        <f>MONTH('base-pms_spbrasil'!E153)</f>
        <v>8</v>
      </c>
      <c r="D153" s="3" t="str">
        <f>UPPER(TEXT('base-pms_spbrasil'!E153,"MMMM"))</f>
        <v>AGOSTO</v>
      </c>
    </row>
    <row r="154" spans="1:4" x14ac:dyDescent="0.25">
      <c r="A154" s="1">
        <v>45170</v>
      </c>
      <c r="B154">
        <f>YEAR('base-pms_spbrasil'!E154)</f>
        <v>2023</v>
      </c>
      <c r="C154">
        <f>MONTH('base-pms_spbrasil'!E154)</f>
        <v>9</v>
      </c>
      <c r="D154" s="3" t="str">
        <f>UPPER(TEXT('base-pms_spbrasil'!E154,"MMMM"))</f>
        <v>SETEMBRO</v>
      </c>
    </row>
    <row r="155" spans="1:4" x14ac:dyDescent="0.25">
      <c r="A155" s="1">
        <v>45200</v>
      </c>
      <c r="B155">
        <f>YEAR('base-pms_spbrasil'!E155)</f>
        <v>2023</v>
      </c>
      <c r="C155">
        <f>MONTH('base-pms_spbrasil'!E155)</f>
        <v>10</v>
      </c>
      <c r="D155" s="3" t="str">
        <f>UPPER(TEXT('base-pms_spbrasil'!E155,"MMMM"))</f>
        <v>OUTUBRO</v>
      </c>
    </row>
    <row r="156" spans="1:4" x14ac:dyDescent="0.25">
      <c r="A156" s="1">
        <v>45231</v>
      </c>
      <c r="B156">
        <f>YEAR('base-pms_spbrasil'!E156)</f>
        <v>2023</v>
      </c>
      <c r="C156">
        <f>MONTH('base-pms_spbrasil'!E156)</f>
        <v>11</v>
      </c>
      <c r="D156" s="3" t="str">
        <f>UPPER(TEXT('base-pms_spbrasil'!E156,"MMMM"))</f>
        <v>NOVEMBRO</v>
      </c>
    </row>
    <row r="157" spans="1:4" x14ac:dyDescent="0.25">
      <c r="A157" s="1">
        <v>45261</v>
      </c>
      <c r="B157">
        <f>YEAR('base-pms_spbrasil'!E157)</f>
        <v>2023</v>
      </c>
      <c r="C157">
        <f>MONTH('base-pms_spbrasil'!E157)</f>
        <v>12</v>
      </c>
      <c r="D157" s="3" t="str">
        <f>UPPER(TEXT('base-pms_spbrasil'!E157,"MMMM"))</f>
        <v>DEZEMBRO</v>
      </c>
    </row>
    <row r="158" spans="1:4" x14ac:dyDescent="0.25">
      <c r="A158" s="1">
        <v>45292</v>
      </c>
      <c r="B158">
        <f>YEAR('base-pms_spbrasil'!E158)</f>
        <v>2024</v>
      </c>
      <c r="C158">
        <f>MONTH('base-pms_spbrasil'!E158)</f>
        <v>1</v>
      </c>
      <c r="D158" s="3" t="str">
        <f>UPPER(TEXT('base-pms_spbrasil'!E158,"MMMM"))</f>
        <v>JANEIRO</v>
      </c>
    </row>
    <row r="159" spans="1:4" x14ac:dyDescent="0.25">
      <c r="A159" s="1">
        <v>45323</v>
      </c>
      <c r="B159">
        <f>YEAR('base-pms_spbrasil'!E159)</f>
        <v>2024</v>
      </c>
      <c r="C159">
        <f>MONTH('base-pms_spbrasil'!E159)</f>
        <v>2</v>
      </c>
      <c r="D159" s="3" t="str">
        <f>UPPER(TEXT('base-pms_spbrasil'!E159,"MMMM"))</f>
        <v>FEVEREIRO</v>
      </c>
    </row>
    <row r="160" spans="1:4" x14ac:dyDescent="0.25">
      <c r="A160" s="1">
        <v>45352</v>
      </c>
      <c r="B160">
        <f>YEAR('base-pms_spbrasil'!E160)</f>
        <v>2024</v>
      </c>
      <c r="C160">
        <f>MONTH('base-pms_spbrasil'!E160)</f>
        <v>3</v>
      </c>
      <c r="D160" s="3" t="str">
        <f>UPPER(TEXT('base-pms_spbrasil'!E160,"MMMM"))</f>
        <v>MARÇO</v>
      </c>
    </row>
    <row r="161" spans="1:4" x14ac:dyDescent="0.25">
      <c r="A161" s="1">
        <v>45383</v>
      </c>
      <c r="B161">
        <f>YEAR('base-pms_spbrasil'!E161)</f>
        <v>2024</v>
      </c>
      <c r="C161">
        <f>MONTH('base-pms_spbrasil'!E161)</f>
        <v>4</v>
      </c>
      <c r="D161" s="3" t="str">
        <f>UPPER(TEXT('base-pms_spbrasil'!E161,"MMMM"))</f>
        <v>ABRIL</v>
      </c>
    </row>
    <row r="162" spans="1:4" x14ac:dyDescent="0.25">
      <c r="A162" s="1">
        <v>45413</v>
      </c>
      <c r="B162">
        <f>YEAR('base-pms_spbrasil'!E162)</f>
        <v>2024</v>
      </c>
      <c r="C162">
        <f>MONTH('base-pms_spbrasil'!E162)</f>
        <v>5</v>
      </c>
      <c r="D162" s="3" t="str">
        <f>UPPER(TEXT('base-pms_spbrasil'!E162,"MMMM"))</f>
        <v>MAIO</v>
      </c>
    </row>
    <row r="163" spans="1:4" x14ac:dyDescent="0.25">
      <c r="A163" s="1">
        <v>45444</v>
      </c>
      <c r="B163">
        <f>YEAR('base-pms_spbrasil'!E163)</f>
        <v>2024</v>
      </c>
      <c r="C163">
        <f>MONTH('base-pms_spbrasil'!E163)</f>
        <v>6</v>
      </c>
      <c r="D163" s="3" t="str">
        <f>UPPER(TEXT('base-pms_spbrasil'!E163,"MMMM"))</f>
        <v>JUNHO</v>
      </c>
    </row>
    <row r="164" spans="1:4" x14ac:dyDescent="0.25">
      <c r="A164" s="1">
        <v>45474</v>
      </c>
      <c r="B164">
        <f>YEAR('base-pms_spbrasil'!E164)</f>
        <v>2024</v>
      </c>
      <c r="C164">
        <f>MONTH('base-pms_spbrasil'!E164)</f>
        <v>7</v>
      </c>
      <c r="D164" s="3" t="str">
        <f>UPPER(TEXT('base-pms_spbrasil'!E164,"MMMM"))</f>
        <v>JULHO</v>
      </c>
    </row>
    <row r="165" spans="1:4" x14ac:dyDescent="0.25">
      <c r="A165" s="1">
        <v>45505</v>
      </c>
      <c r="B165">
        <f>YEAR('base-pms_spbrasil'!E165)</f>
        <v>2024</v>
      </c>
      <c r="C165">
        <f>MONTH('base-pms_spbrasil'!E165)</f>
        <v>8</v>
      </c>
      <c r="D165" s="3" t="str">
        <f>UPPER(TEXT('base-pms_spbrasil'!E165,"MMMM"))</f>
        <v>AGOSTO</v>
      </c>
    </row>
    <row r="166" spans="1:4" x14ac:dyDescent="0.25">
      <c r="A166" s="1">
        <v>45536</v>
      </c>
      <c r="B166">
        <f>YEAR('base-pms_spbrasil'!E166)</f>
        <v>2024</v>
      </c>
      <c r="C166">
        <f>MONTH('base-pms_spbrasil'!E166)</f>
        <v>9</v>
      </c>
      <c r="D166" s="3" t="str">
        <f>UPPER(TEXT('base-pms_spbrasil'!E166,"MMMM"))</f>
        <v>SETEMBRO</v>
      </c>
    </row>
    <row r="167" spans="1:4" x14ac:dyDescent="0.25">
      <c r="A167" s="1">
        <v>45566</v>
      </c>
      <c r="B167">
        <f>YEAR('base-pms_spbrasil'!E167)</f>
        <v>2024</v>
      </c>
      <c r="C167">
        <f>MONTH('base-pms_spbrasil'!E167)</f>
        <v>10</v>
      </c>
      <c r="D167" s="3" t="str">
        <f>UPPER(TEXT('base-pms_spbrasil'!E167,"MMMM"))</f>
        <v>OUTUBRO</v>
      </c>
    </row>
    <row r="168" spans="1:4" x14ac:dyDescent="0.25">
      <c r="A168" s="1">
        <v>45597</v>
      </c>
      <c r="B168">
        <f>YEAR('base-pms_spbrasil'!E168)</f>
        <v>2024</v>
      </c>
      <c r="C168">
        <f>MONTH('base-pms_spbrasil'!E168)</f>
        <v>11</v>
      </c>
      <c r="D168" s="3" t="str">
        <f>UPPER(TEXT('base-pms_spbrasil'!E168,"MMMM"))</f>
        <v>NOVEMBRO</v>
      </c>
    </row>
    <row r="169" spans="1:4" x14ac:dyDescent="0.25">
      <c r="A169" s="1">
        <v>45627</v>
      </c>
      <c r="B169">
        <f>YEAR('base-pms_spbrasil'!E169)</f>
        <v>2024</v>
      </c>
      <c r="C169">
        <f>MONTH('base-pms_spbrasil'!E169)</f>
        <v>12</v>
      </c>
      <c r="D169" s="3" t="str">
        <f>UPPER(TEXT('base-pms_spbrasil'!E169,"MMMM"))</f>
        <v>DEZEMBRO</v>
      </c>
    </row>
    <row r="170" spans="1:4" x14ac:dyDescent="0.25">
      <c r="A170" s="1">
        <v>45658</v>
      </c>
      <c r="B170">
        <f>YEAR('base-pms_spbrasil'!E170)</f>
        <v>2025</v>
      </c>
      <c r="C170">
        <f>MONTH('base-pms_spbrasil'!E170)</f>
        <v>1</v>
      </c>
      <c r="D170" s="3" t="str">
        <f>UPPER(TEXT('base-pms_spbrasil'!E170,"MMMM"))</f>
        <v>JANEIRO</v>
      </c>
    </row>
    <row r="171" spans="1:4" x14ac:dyDescent="0.25">
      <c r="A171" s="1">
        <v>45689</v>
      </c>
      <c r="B171">
        <f>YEAR('base-pms_spbrasil'!E171)</f>
        <v>2025</v>
      </c>
      <c r="C171">
        <f>MONTH('base-pms_spbrasil'!E171)</f>
        <v>2</v>
      </c>
      <c r="D171" s="3" t="str">
        <f>UPPER(TEXT('base-pms_spbrasil'!E171,"MMMM"))</f>
        <v>FEVEREIRO</v>
      </c>
    </row>
    <row r="172" spans="1:4" x14ac:dyDescent="0.25">
      <c r="A172" s="1">
        <v>45717</v>
      </c>
      <c r="B172">
        <f>YEAR('base-pms_spbrasil'!E172)</f>
        <v>2025</v>
      </c>
      <c r="C172">
        <f>MONTH('base-pms_spbrasil'!E172)</f>
        <v>3</v>
      </c>
      <c r="D172" s="3" t="str">
        <f>UPPER(TEXT('base-pms_spbrasil'!E172,"MMMM"))</f>
        <v>MARÇO</v>
      </c>
    </row>
    <row r="173" spans="1:4" x14ac:dyDescent="0.25">
      <c r="A173" s="1">
        <v>45748</v>
      </c>
      <c r="B173">
        <f>YEAR('base-pms_spbrasil'!E173)</f>
        <v>2025</v>
      </c>
      <c r="C173">
        <f>MONTH('base-pms_spbrasil'!E173)</f>
        <v>4</v>
      </c>
      <c r="D173" s="3" t="str">
        <f>UPPER(TEXT('base-pms_spbrasil'!E173,"MMMM"))</f>
        <v>ABRIL</v>
      </c>
    </row>
    <row r="174" spans="1:4" x14ac:dyDescent="0.25">
      <c r="A174" s="1">
        <v>45778</v>
      </c>
      <c r="B174">
        <f>YEAR('base-pms_spbrasil'!E174)</f>
        <v>2025</v>
      </c>
      <c r="C174">
        <f>MONTH('base-pms_spbrasil'!E174)</f>
        <v>5</v>
      </c>
      <c r="D174" s="3" t="str">
        <f>UPPER(TEXT('base-pms_spbrasil'!E174,"MMMM"))</f>
        <v>MAIO</v>
      </c>
    </row>
    <row r="175" spans="1:4" x14ac:dyDescent="0.25">
      <c r="A175" s="1">
        <v>45809</v>
      </c>
      <c r="B175">
        <f>YEAR('base-pms_spbrasil'!E175)</f>
        <v>2025</v>
      </c>
      <c r="C175">
        <f>MONTH('base-pms_spbrasil'!E175)</f>
        <v>6</v>
      </c>
      <c r="D175" s="3" t="str">
        <f>UPPER(TEXT('base-pms_spbrasil'!E175,"MMMM"))</f>
        <v>JUNHO</v>
      </c>
    </row>
    <row r="176" spans="1:4" x14ac:dyDescent="0.25">
      <c r="A176" s="1">
        <v>45839</v>
      </c>
      <c r="B176">
        <f>YEAR('base-pms_spbrasil'!E176)</f>
        <v>2025</v>
      </c>
      <c r="C176">
        <f>MONTH('base-pms_spbrasil'!E176)</f>
        <v>7</v>
      </c>
      <c r="D176" s="3" t="str">
        <f>UPPER(TEXT('base-pms_spbrasil'!E176,"MMMM"))</f>
        <v>JULHO</v>
      </c>
    </row>
    <row r="177" spans="1:4" x14ac:dyDescent="0.25">
      <c r="A177" s="1">
        <v>45870</v>
      </c>
      <c r="B177">
        <f>YEAR('base-pms_spbrasil'!E177)</f>
        <v>2025</v>
      </c>
      <c r="C177">
        <f>MONTH('base-pms_spbrasil'!E177)</f>
        <v>8</v>
      </c>
      <c r="D177" s="3" t="str">
        <f>UPPER(TEXT('base-pms_spbrasil'!E177,"MMMM"))</f>
        <v>AGOSTO</v>
      </c>
    </row>
    <row r="178" spans="1:4" x14ac:dyDescent="0.25">
      <c r="A178" s="1">
        <v>40544</v>
      </c>
      <c r="B178">
        <f>YEAR('base-pms_spbrasil'!E178)</f>
        <v>2011</v>
      </c>
      <c r="C178">
        <f>MONTH('base-pms_spbrasil'!E178)</f>
        <v>1</v>
      </c>
      <c r="D178" s="3" t="str">
        <f>UPPER(TEXT('base-pms_spbrasil'!E178,"MMMM"))</f>
        <v>JANEIRO</v>
      </c>
    </row>
    <row r="179" spans="1:4" x14ac:dyDescent="0.25">
      <c r="A179" s="1">
        <v>40575</v>
      </c>
      <c r="B179">
        <f>YEAR('base-pms_spbrasil'!E179)</f>
        <v>2011</v>
      </c>
      <c r="C179">
        <f>MONTH('base-pms_spbrasil'!E179)</f>
        <v>2</v>
      </c>
      <c r="D179" s="3" t="str">
        <f>UPPER(TEXT('base-pms_spbrasil'!E179,"MMMM"))</f>
        <v>FEVEREIRO</v>
      </c>
    </row>
    <row r="180" spans="1:4" x14ac:dyDescent="0.25">
      <c r="A180" s="1">
        <v>40603</v>
      </c>
      <c r="B180">
        <f>YEAR('base-pms_spbrasil'!E180)</f>
        <v>2011</v>
      </c>
      <c r="C180">
        <f>MONTH('base-pms_spbrasil'!E180)</f>
        <v>3</v>
      </c>
      <c r="D180" s="3" t="str">
        <f>UPPER(TEXT('base-pms_spbrasil'!E180,"MMMM"))</f>
        <v>MARÇO</v>
      </c>
    </row>
    <row r="181" spans="1:4" x14ac:dyDescent="0.25">
      <c r="A181" s="1">
        <v>40634</v>
      </c>
      <c r="B181">
        <f>YEAR('base-pms_spbrasil'!E181)</f>
        <v>2011</v>
      </c>
      <c r="C181">
        <f>MONTH('base-pms_spbrasil'!E181)</f>
        <v>4</v>
      </c>
      <c r="D181" s="3" t="str">
        <f>UPPER(TEXT('base-pms_spbrasil'!E181,"MMMM"))</f>
        <v>ABRIL</v>
      </c>
    </row>
    <row r="182" spans="1:4" x14ac:dyDescent="0.25">
      <c r="A182" s="1">
        <v>40664</v>
      </c>
      <c r="B182">
        <f>YEAR('base-pms_spbrasil'!E182)</f>
        <v>2011</v>
      </c>
      <c r="C182">
        <f>MONTH('base-pms_spbrasil'!E182)</f>
        <v>5</v>
      </c>
      <c r="D182" s="3" t="str">
        <f>UPPER(TEXT('base-pms_spbrasil'!E182,"MMMM"))</f>
        <v>MAIO</v>
      </c>
    </row>
    <row r="183" spans="1:4" x14ac:dyDescent="0.25">
      <c r="A183" s="1">
        <v>40695</v>
      </c>
      <c r="B183">
        <f>YEAR('base-pms_spbrasil'!E183)</f>
        <v>2011</v>
      </c>
      <c r="C183">
        <f>MONTH('base-pms_spbrasil'!E183)</f>
        <v>6</v>
      </c>
      <c r="D183" s="3" t="str">
        <f>UPPER(TEXT('base-pms_spbrasil'!E183,"MMMM"))</f>
        <v>JUNHO</v>
      </c>
    </row>
    <row r="184" spans="1:4" x14ac:dyDescent="0.25">
      <c r="A184" s="1">
        <v>40725</v>
      </c>
      <c r="B184">
        <f>YEAR('base-pms_spbrasil'!E184)</f>
        <v>2011</v>
      </c>
      <c r="C184">
        <f>MONTH('base-pms_spbrasil'!E184)</f>
        <v>7</v>
      </c>
      <c r="D184" s="3" t="str">
        <f>UPPER(TEXT('base-pms_spbrasil'!E184,"MMMM"))</f>
        <v>JULHO</v>
      </c>
    </row>
    <row r="185" spans="1:4" x14ac:dyDescent="0.25">
      <c r="A185" s="1">
        <v>40756</v>
      </c>
      <c r="B185">
        <f>YEAR('base-pms_spbrasil'!E185)</f>
        <v>2011</v>
      </c>
      <c r="C185">
        <f>MONTH('base-pms_spbrasil'!E185)</f>
        <v>8</v>
      </c>
      <c r="D185" s="3" t="str">
        <f>UPPER(TEXT('base-pms_spbrasil'!E185,"MMMM"))</f>
        <v>AGOSTO</v>
      </c>
    </row>
    <row r="186" spans="1:4" x14ac:dyDescent="0.25">
      <c r="A186" s="1">
        <v>40787</v>
      </c>
      <c r="B186">
        <f>YEAR('base-pms_spbrasil'!E186)</f>
        <v>2011</v>
      </c>
      <c r="C186">
        <f>MONTH('base-pms_spbrasil'!E186)</f>
        <v>9</v>
      </c>
      <c r="D186" s="3" t="str">
        <f>UPPER(TEXT('base-pms_spbrasil'!E186,"MMMM"))</f>
        <v>SETEMBRO</v>
      </c>
    </row>
    <row r="187" spans="1:4" x14ac:dyDescent="0.25">
      <c r="A187" s="1">
        <v>40817</v>
      </c>
      <c r="B187">
        <f>YEAR('base-pms_spbrasil'!E187)</f>
        <v>2011</v>
      </c>
      <c r="C187">
        <f>MONTH('base-pms_spbrasil'!E187)</f>
        <v>10</v>
      </c>
      <c r="D187" s="3" t="str">
        <f>UPPER(TEXT('base-pms_spbrasil'!E187,"MMMM"))</f>
        <v>OUTUBRO</v>
      </c>
    </row>
    <row r="188" spans="1:4" x14ac:dyDescent="0.25">
      <c r="A188" s="1">
        <v>40848</v>
      </c>
      <c r="B188">
        <f>YEAR('base-pms_spbrasil'!E188)</f>
        <v>2011</v>
      </c>
      <c r="C188">
        <f>MONTH('base-pms_spbrasil'!E188)</f>
        <v>11</v>
      </c>
      <c r="D188" s="3" t="str">
        <f>UPPER(TEXT('base-pms_spbrasil'!E188,"MMMM"))</f>
        <v>NOVEMBRO</v>
      </c>
    </row>
    <row r="189" spans="1:4" x14ac:dyDescent="0.25">
      <c r="A189" s="1">
        <v>40878</v>
      </c>
      <c r="B189">
        <f>YEAR('base-pms_spbrasil'!E189)</f>
        <v>2011</v>
      </c>
      <c r="C189">
        <f>MONTH('base-pms_spbrasil'!E189)</f>
        <v>12</v>
      </c>
      <c r="D189" s="3" t="str">
        <f>UPPER(TEXT('base-pms_spbrasil'!E189,"MMMM"))</f>
        <v>DEZEMBRO</v>
      </c>
    </row>
    <row r="190" spans="1:4" x14ac:dyDescent="0.25">
      <c r="A190" s="1">
        <v>40909</v>
      </c>
      <c r="B190">
        <f>YEAR('base-pms_spbrasil'!E190)</f>
        <v>2012</v>
      </c>
      <c r="C190">
        <f>MONTH('base-pms_spbrasil'!E190)</f>
        <v>1</v>
      </c>
      <c r="D190" s="3" t="str">
        <f>UPPER(TEXT('base-pms_spbrasil'!E190,"MMMM"))</f>
        <v>JANEIRO</v>
      </c>
    </row>
    <row r="191" spans="1:4" x14ac:dyDescent="0.25">
      <c r="A191" s="1">
        <v>40940</v>
      </c>
      <c r="B191">
        <f>YEAR('base-pms_spbrasil'!E191)</f>
        <v>2012</v>
      </c>
      <c r="C191">
        <f>MONTH('base-pms_spbrasil'!E191)</f>
        <v>2</v>
      </c>
      <c r="D191" s="3" t="str">
        <f>UPPER(TEXT('base-pms_spbrasil'!E191,"MMMM"))</f>
        <v>FEVEREIRO</v>
      </c>
    </row>
    <row r="192" spans="1:4" x14ac:dyDescent="0.25">
      <c r="A192" s="1">
        <v>40969</v>
      </c>
      <c r="B192">
        <f>YEAR('base-pms_spbrasil'!E192)</f>
        <v>2012</v>
      </c>
      <c r="C192">
        <f>MONTH('base-pms_spbrasil'!E192)</f>
        <v>3</v>
      </c>
      <c r="D192" s="3" t="str">
        <f>UPPER(TEXT('base-pms_spbrasil'!E192,"MMMM"))</f>
        <v>MARÇO</v>
      </c>
    </row>
    <row r="193" spans="1:4" x14ac:dyDescent="0.25">
      <c r="A193" s="1">
        <v>41000</v>
      </c>
      <c r="B193">
        <f>YEAR('base-pms_spbrasil'!E193)</f>
        <v>2012</v>
      </c>
      <c r="C193">
        <f>MONTH('base-pms_spbrasil'!E193)</f>
        <v>4</v>
      </c>
      <c r="D193" s="3" t="str">
        <f>UPPER(TEXT('base-pms_spbrasil'!E193,"MMMM"))</f>
        <v>ABRIL</v>
      </c>
    </row>
    <row r="194" spans="1:4" x14ac:dyDescent="0.25">
      <c r="A194" s="1">
        <v>41030</v>
      </c>
      <c r="B194">
        <f>YEAR('base-pms_spbrasil'!E194)</f>
        <v>2012</v>
      </c>
      <c r="C194">
        <f>MONTH('base-pms_spbrasil'!E194)</f>
        <v>5</v>
      </c>
      <c r="D194" s="3" t="str">
        <f>UPPER(TEXT('base-pms_spbrasil'!E194,"MMMM"))</f>
        <v>MAIO</v>
      </c>
    </row>
    <row r="195" spans="1:4" x14ac:dyDescent="0.25">
      <c r="A195" s="1">
        <v>41061</v>
      </c>
      <c r="B195">
        <f>YEAR('base-pms_spbrasil'!E195)</f>
        <v>2012</v>
      </c>
      <c r="C195">
        <f>MONTH('base-pms_spbrasil'!E195)</f>
        <v>6</v>
      </c>
      <c r="D195" s="3" t="str">
        <f>UPPER(TEXT('base-pms_spbrasil'!E195,"MMMM"))</f>
        <v>JUNHO</v>
      </c>
    </row>
    <row r="196" spans="1:4" x14ac:dyDescent="0.25">
      <c r="A196" s="1">
        <v>41091</v>
      </c>
      <c r="B196">
        <f>YEAR('base-pms_spbrasil'!E196)</f>
        <v>2012</v>
      </c>
      <c r="C196">
        <f>MONTH('base-pms_spbrasil'!E196)</f>
        <v>7</v>
      </c>
      <c r="D196" s="3" t="str">
        <f>UPPER(TEXT('base-pms_spbrasil'!E196,"MMMM"))</f>
        <v>JULHO</v>
      </c>
    </row>
    <row r="197" spans="1:4" x14ac:dyDescent="0.25">
      <c r="A197" s="1">
        <v>41122</v>
      </c>
      <c r="B197">
        <f>YEAR('base-pms_spbrasil'!E197)</f>
        <v>2012</v>
      </c>
      <c r="C197">
        <f>MONTH('base-pms_spbrasil'!E197)</f>
        <v>8</v>
      </c>
      <c r="D197" s="3" t="str">
        <f>UPPER(TEXT('base-pms_spbrasil'!E197,"MMMM"))</f>
        <v>AGOSTO</v>
      </c>
    </row>
    <row r="198" spans="1:4" x14ac:dyDescent="0.25">
      <c r="A198" s="1">
        <v>41153</v>
      </c>
      <c r="B198">
        <f>YEAR('base-pms_spbrasil'!E198)</f>
        <v>2012</v>
      </c>
      <c r="C198">
        <f>MONTH('base-pms_spbrasil'!E198)</f>
        <v>9</v>
      </c>
      <c r="D198" s="3" t="str">
        <f>UPPER(TEXT('base-pms_spbrasil'!E198,"MMMM"))</f>
        <v>SETEMBRO</v>
      </c>
    </row>
    <row r="199" spans="1:4" x14ac:dyDescent="0.25">
      <c r="A199" s="1">
        <v>41183</v>
      </c>
      <c r="B199">
        <f>YEAR('base-pms_spbrasil'!E199)</f>
        <v>2012</v>
      </c>
      <c r="C199">
        <f>MONTH('base-pms_spbrasil'!E199)</f>
        <v>10</v>
      </c>
      <c r="D199" s="3" t="str">
        <f>UPPER(TEXT('base-pms_spbrasil'!E199,"MMMM"))</f>
        <v>OUTUBRO</v>
      </c>
    </row>
    <row r="200" spans="1:4" x14ac:dyDescent="0.25">
      <c r="A200" s="1">
        <v>41214</v>
      </c>
      <c r="B200">
        <f>YEAR('base-pms_spbrasil'!E200)</f>
        <v>2012</v>
      </c>
      <c r="C200">
        <f>MONTH('base-pms_spbrasil'!E200)</f>
        <v>11</v>
      </c>
      <c r="D200" s="3" t="str">
        <f>UPPER(TEXT('base-pms_spbrasil'!E200,"MMMM"))</f>
        <v>NOVEMBRO</v>
      </c>
    </row>
    <row r="201" spans="1:4" x14ac:dyDescent="0.25">
      <c r="A201" s="1">
        <v>41244</v>
      </c>
      <c r="B201">
        <f>YEAR('base-pms_spbrasil'!E201)</f>
        <v>2012</v>
      </c>
      <c r="C201">
        <f>MONTH('base-pms_spbrasil'!E201)</f>
        <v>12</v>
      </c>
      <c r="D201" s="3" t="str">
        <f>UPPER(TEXT('base-pms_spbrasil'!E201,"MMMM"))</f>
        <v>DEZEMBRO</v>
      </c>
    </row>
    <row r="202" spans="1:4" x14ac:dyDescent="0.25">
      <c r="A202" s="1">
        <v>41275</v>
      </c>
      <c r="B202">
        <f>YEAR('base-pms_spbrasil'!E202)</f>
        <v>2013</v>
      </c>
      <c r="C202">
        <f>MONTH('base-pms_spbrasil'!E202)</f>
        <v>1</v>
      </c>
      <c r="D202" s="3" t="str">
        <f>UPPER(TEXT('base-pms_spbrasil'!E202,"MMMM"))</f>
        <v>JANEIRO</v>
      </c>
    </row>
    <row r="203" spans="1:4" x14ac:dyDescent="0.25">
      <c r="A203" s="1">
        <v>41306</v>
      </c>
      <c r="B203">
        <f>YEAR('base-pms_spbrasil'!E203)</f>
        <v>2013</v>
      </c>
      <c r="C203">
        <f>MONTH('base-pms_spbrasil'!E203)</f>
        <v>2</v>
      </c>
      <c r="D203" s="3" t="str">
        <f>UPPER(TEXT('base-pms_spbrasil'!E203,"MMMM"))</f>
        <v>FEVEREIRO</v>
      </c>
    </row>
    <row r="204" spans="1:4" x14ac:dyDescent="0.25">
      <c r="A204" s="1">
        <v>41334</v>
      </c>
      <c r="B204">
        <f>YEAR('base-pms_spbrasil'!E204)</f>
        <v>2013</v>
      </c>
      <c r="C204">
        <f>MONTH('base-pms_spbrasil'!E204)</f>
        <v>3</v>
      </c>
      <c r="D204" s="3" t="str">
        <f>UPPER(TEXT('base-pms_spbrasil'!E204,"MMMM"))</f>
        <v>MARÇO</v>
      </c>
    </row>
    <row r="205" spans="1:4" x14ac:dyDescent="0.25">
      <c r="A205" s="1">
        <v>41365</v>
      </c>
      <c r="B205">
        <f>YEAR('base-pms_spbrasil'!E205)</f>
        <v>2013</v>
      </c>
      <c r="C205">
        <f>MONTH('base-pms_spbrasil'!E205)</f>
        <v>4</v>
      </c>
      <c r="D205" s="3" t="str">
        <f>UPPER(TEXT('base-pms_spbrasil'!E205,"MMMM"))</f>
        <v>ABRIL</v>
      </c>
    </row>
    <row r="206" spans="1:4" x14ac:dyDescent="0.25">
      <c r="A206" s="1">
        <v>41395</v>
      </c>
      <c r="B206">
        <f>YEAR('base-pms_spbrasil'!E206)</f>
        <v>2013</v>
      </c>
      <c r="C206">
        <f>MONTH('base-pms_spbrasil'!E206)</f>
        <v>5</v>
      </c>
      <c r="D206" s="3" t="str">
        <f>UPPER(TEXT('base-pms_spbrasil'!E206,"MMMM"))</f>
        <v>MAIO</v>
      </c>
    </row>
    <row r="207" spans="1:4" x14ac:dyDescent="0.25">
      <c r="A207" s="1">
        <v>41426</v>
      </c>
      <c r="B207">
        <f>YEAR('base-pms_spbrasil'!E207)</f>
        <v>2013</v>
      </c>
      <c r="C207">
        <f>MONTH('base-pms_spbrasil'!E207)</f>
        <v>6</v>
      </c>
      <c r="D207" s="3" t="str">
        <f>UPPER(TEXT('base-pms_spbrasil'!E207,"MMMM"))</f>
        <v>JUNHO</v>
      </c>
    </row>
    <row r="208" spans="1:4" x14ac:dyDescent="0.25">
      <c r="A208" s="1">
        <v>41456</v>
      </c>
      <c r="B208">
        <f>YEAR('base-pms_spbrasil'!E208)</f>
        <v>2013</v>
      </c>
      <c r="C208">
        <f>MONTH('base-pms_spbrasil'!E208)</f>
        <v>7</v>
      </c>
      <c r="D208" s="3" t="str">
        <f>UPPER(TEXT('base-pms_spbrasil'!E208,"MMMM"))</f>
        <v>JULHO</v>
      </c>
    </row>
    <row r="209" spans="1:4" x14ac:dyDescent="0.25">
      <c r="A209" s="1">
        <v>41487</v>
      </c>
      <c r="B209">
        <f>YEAR('base-pms_spbrasil'!E209)</f>
        <v>2013</v>
      </c>
      <c r="C209">
        <f>MONTH('base-pms_spbrasil'!E209)</f>
        <v>8</v>
      </c>
      <c r="D209" s="3" t="str">
        <f>UPPER(TEXT('base-pms_spbrasil'!E209,"MMMM"))</f>
        <v>AGOSTO</v>
      </c>
    </row>
    <row r="210" spans="1:4" x14ac:dyDescent="0.25">
      <c r="A210" s="1">
        <v>41518</v>
      </c>
      <c r="B210">
        <f>YEAR('base-pms_spbrasil'!E210)</f>
        <v>2013</v>
      </c>
      <c r="C210">
        <f>MONTH('base-pms_spbrasil'!E210)</f>
        <v>9</v>
      </c>
      <c r="D210" s="3" t="str">
        <f>UPPER(TEXT('base-pms_spbrasil'!E210,"MMMM"))</f>
        <v>SETEMBRO</v>
      </c>
    </row>
    <row r="211" spans="1:4" x14ac:dyDescent="0.25">
      <c r="A211" s="1">
        <v>41548</v>
      </c>
      <c r="B211">
        <f>YEAR('base-pms_spbrasil'!E211)</f>
        <v>2013</v>
      </c>
      <c r="C211">
        <f>MONTH('base-pms_spbrasil'!E211)</f>
        <v>10</v>
      </c>
      <c r="D211" s="3" t="str">
        <f>UPPER(TEXT('base-pms_spbrasil'!E211,"MMMM"))</f>
        <v>OUTUBRO</v>
      </c>
    </row>
    <row r="212" spans="1:4" x14ac:dyDescent="0.25">
      <c r="A212" s="1">
        <v>41579</v>
      </c>
      <c r="B212">
        <f>YEAR('base-pms_spbrasil'!E212)</f>
        <v>2013</v>
      </c>
      <c r="C212">
        <f>MONTH('base-pms_spbrasil'!E212)</f>
        <v>11</v>
      </c>
      <c r="D212" s="3" t="str">
        <f>UPPER(TEXT('base-pms_spbrasil'!E212,"MMMM"))</f>
        <v>NOVEMBRO</v>
      </c>
    </row>
    <row r="213" spans="1:4" x14ac:dyDescent="0.25">
      <c r="A213" s="1">
        <v>41609</v>
      </c>
      <c r="B213">
        <f>YEAR('base-pms_spbrasil'!E213)</f>
        <v>2013</v>
      </c>
      <c r="C213">
        <f>MONTH('base-pms_spbrasil'!E213)</f>
        <v>12</v>
      </c>
      <c r="D213" s="3" t="str">
        <f>UPPER(TEXT('base-pms_spbrasil'!E213,"MMMM"))</f>
        <v>DEZEMBRO</v>
      </c>
    </row>
    <row r="214" spans="1:4" x14ac:dyDescent="0.25">
      <c r="A214" s="1">
        <v>41640</v>
      </c>
      <c r="B214">
        <f>YEAR('base-pms_spbrasil'!E214)</f>
        <v>2014</v>
      </c>
      <c r="C214">
        <f>MONTH('base-pms_spbrasil'!E214)</f>
        <v>1</v>
      </c>
      <c r="D214" s="3" t="str">
        <f>UPPER(TEXT('base-pms_spbrasil'!E214,"MMMM"))</f>
        <v>JANEIRO</v>
      </c>
    </row>
    <row r="215" spans="1:4" x14ac:dyDescent="0.25">
      <c r="A215" s="1">
        <v>41671</v>
      </c>
      <c r="B215">
        <f>YEAR('base-pms_spbrasil'!E215)</f>
        <v>2014</v>
      </c>
      <c r="C215">
        <f>MONTH('base-pms_spbrasil'!E215)</f>
        <v>2</v>
      </c>
      <c r="D215" s="3" t="str">
        <f>UPPER(TEXT('base-pms_spbrasil'!E215,"MMMM"))</f>
        <v>FEVEREIRO</v>
      </c>
    </row>
    <row r="216" spans="1:4" x14ac:dyDescent="0.25">
      <c r="A216" s="1">
        <v>41699</v>
      </c>
      <c r="B216">
        <f>YEAR('base-pms_spbrasil'!E216)</f>
        <v>2014</v>
      </c>
      <c r="C216">
        <f>MONTH('base-pms_spbrasil'!E216)</f>
        <v>3</v>
      </c>
      <c r="D216" s="3" t="str">
        <f>UPPER(TEXT('base-pms_spbrasil'!E216,"MMMM"))</f>
        <v>MARÇO</v>
      </c>
    </row>
    <row r="217" spans="1:4" x14ac:dyDescent="0.25">
      <c r="A217" s="1">
        <v>41730</v>
      </c>
      <c r="B217">
        <f>YEAR('base-pms_spbrasil'!E217)</f>
        <v>2014</v>
      </c>
      <c r="C217">
        <f>MONTH('base-pms_spbrasil'!E217)</f>
        <v>4</v>
      </c>
      <c r="D217" s="3" t="str">
        <f>UPPER(TEXT('base-pms_spbrasil'!E217,"MMMM"))</f>
        <v>ABRIL</v>
      </c>
    </row>
    <row r="218" spans="1:4" x14ac:dyDescent="0.25">
      <c r="A218" s="1">
        <v>41760</v>
      </c>
      <c r="B218">
        <f>YEAR('base-pms_spbrasil'!E218)</f>
        <v>2014</v>
      </c>
      <c r="C218">
        <f>MONTH('base-pms_spbrasil'!E218)</f>
        <v>5</v>
      </c>
      <c r="D218" s="3" t="str">
        <f>UPPER(TEXT('base-pms_spbrasil'!E218,"MMMM"))</f>
        <v>MAIO</v>
      </c>
    </row>
    <row r="219" spans="1:4" x14ac:dyDescent="0.25">
      <c r="A219" s="1">
        <v>41791</v>
      </c>
      <c r="B219">
        <f>YEAR('base-pms_spbrasil'!E219)</f>
        <v>2014</v>
      </c>
      <c r="C219">
        <f>MONTH('base-pms_spbrasil'!E219)</f>
        <v>6</v>
      </c>
      <c r="D219" s="3" t="str">
        <f>UPPER(TEXT('base-pms_spbrasil'!E219,"MMMM"))</f>
        <v>JUNHO</v>
      </c>
    </row>
    <row r="220" spans="1:4" x14ac:dyDescent="0.25">
      <c r="A220" s="1">
        <v>41821</v>
      </c>
      <c r="B220">
        <f>YEAR('base-pms_spbrasil'!E220)</f>
        <v>2014</v>
      </c>
      <c r="C220">
        <f>MONTH('base-pms_spbrasil'!E220)</f>
        <v>7</v>
      </c>
      <c r="D220" s="3" t="str">
        <f>UPPER(TEXT('base-pms_spbrasil'!E220,"MMMM"))</f>
        <v>JULHO</v>
      </c>
    </row>
    <row r="221" spans="1:4" x14ac:dyDescent="0.25">
      <c r="A221" s="1">
        <v>41852</v>
      </c>
      <c r="B221">
        <f>YEAR('base-pms_spbrasil'!E221)</f>
        <v>2014</v>
      </c>
      <c r="C221">
        <f>MONTH('base-pms_spbrasil'!E221)</f>
        <v>8</v>
      </c>
      <c r="D221" s="3" t="str">
        <f>UPPER(TEXT('base-pms_spbrasil'!E221,"MMMM"))</f>
        <v>AGOSTO</v>
      </c>
    </row>
    <row r="222" spans="1:4" x14ac:dyDescent="0.25">
      <c r="A222" s="1">
        <v>41883</v>
      </c>
      <c r="B222">
        <f>YEAR('base-pms_spbrasil'!E222)</f>
        <v>2014</v>
      </c>
      <c r="C222">
        <f>MONTH('base-pms_spbrasil'!E222)</f>
        <v>9</v>
      </c>
      <c r="D222" s="3" t="str">
        <f>UPPER(TEXT('base-pms_spbrasil'!E222,"MMMM"))</f>
        <v>SETEMBRO</v>
      </c>
    </row>
    <row r="223" spans="1:4" x14ac:dyDescent="0.25">
      <c r="A223" s="1">
        <v>41913</v>
      </c>
      <c r="B223">
        <f>YEAR('base-pms_spbrasil'!E223)</f>
        <v>2014</v>
      </c>
      <c r="C223">
        <f>MONTH('base-pms_spbrasil'!E223)</f>
        <v>10</v>
      </c>
      <c r="D223" s="3" t="str">
        <f>UPPER(TEXT('base-pms_spbrasil'!E223,"MMMM"))</f>
        <v>OUTUBRO</v>
      </c>
    </row>
    <row r="224" spans="1:4" x14ac:dyDescent="0.25">
      <c r="A224" s="1">
        <v>41944</v>
      </c>
      <c r="B224">
        <f>YEAR('base-pms_spbrasil'!E224)</f>
        <v>2014</v>
      </c>
      <c r="C224">
        <f>MONTH('base-pms_spbrasil'!E224)</f>
        <v>11</v>
      </c>
      <c r="D224" s="3" t="str">
        <f>UPPER(TEXT('base-pms_spbrasil'!E224,"MMMM"))</f>
        <v>NOVEMBRO</v>
      </c>
    </row>
    <row r="225" spans="1:4" x14ac:dyDescent="0.25">
      <c r="A225" s="1">
        <v>41974</v>
      </c>
      <c r="B225">
        <f>YEAR('base-pms_spbrasil'!E225)</f>
        <v>2014</v>
      </c>
      <c r="C225">
        <f>MONTH('base-pms_spbrasil'!E225)</f>
        <v>12</v>
      </c>
      <c r="D225" s="3" t="str">
        <f>UPPER(TEXT('base-pms_spbrasil'!E225,"MMMM"))</f>
        <v>DEZEMBRO</v>
      </c>
    </row>
    <row r="226" spans="1:4" x14ac:dyDescent="0.25">
      <c r="A226" s="1">
        <v>42005</v>
      </c>
      <c r="B226">
        <f>YEAR('base-pms_spbrasil'!E226)</f>
        <v>2015</v>
      </c>
      <c r="C226">
        <f>MONTH('base-pms_spbrasil'!E226)</f>
        <v>1</v>
      </c>
      <c r="D226" s="3" t="str">
        <f>UPPER(TEXT('base-pms_spbrasil'!E226,"MMMM"))</f>
        <v>JANEIRO</v>
      </c>
    </row>
    <row r="227" spans="1:4" x14ac:dyDescent="0.25">
      <c r="A227" s="1">
        <v>42036</v>
      </c>
      <c r="B227">
        <f>YEAR('base-pms_spbrasil'!E227)</f>
        <v>2015</v>
      </c>
      <c r="C227">
        <f>MONTH('base-pms_spbrasil'!E227)</f>
        <v>2</v>
      </c>
      <c r="D227" s="3" t="str">
        <f>UPPER(TEXT('base-pms_spbrasil'!E227,"MMMM"))</f>
        <v>FEVEREIRO</v>
      </c>
    </row>
    <row r="228" spans="1:4" x14ac:dyDescent="0.25">
      <c r="A228" s="1">
        <v>42064</v>
      </c>
      <c r="B228">
        <f>YEAR('base-pms_spbrasil'!E228)</f>
        <v>2015</v>
      </c>
      <c r="C228">
        <f>MONTH('base-pms_spbrasil'!E228)</f>
        <v>3</v>
      </c>
      <c r="D228" s="3" t="str">
        <f>UPPER(TEXT('base-pms_spbrasil'!E228,"MMMM"))</f>
        <v>MARÇO</v>
      </c>
    </row>
    <row r="229" spans="1:4" x14ac:dyDescent="0.25">
      <c r="A229" s="1">
        <v>42095</v>
      </c>
      <c r="B229">
        <f>YEAR('base-pms_spbrasil'!E229)</f>
        <v>2015</v>
      </c>
      <c r="C229">
        <f>MONTH('base-pms_spbrasil'!E229)</f>
        <v>4</v>
      </c>
      <c r="D229" s="3" t="str">
        <f>UPPER(TEXT('base-pms_spbrasil'!E229,"MMMM"))</f>
        <v>ABRIL</v>
      </c>
    </row>
    <row r="230" spans="1:4" x14ac:dyDescent="0.25">
      <c r="A230" s="1">
        <v>42125</v>
      </c>
      <c r="B230">
        <f>YEAR('base-pms_spbrasil'!E230)</f>
        <v>2015</v>
      </c>
      <c r="C230">
        <f>MONTH('base-pms_spbrasil'!E230)</f>
        <v>5</v>
      </c>
      <c r="D230" s="3" t="str">
        <f>UPPER(TEXT('base-pms_spbrasil'!E230,"MMMM"))</f>
        <v>MAIO</v>
      </c>
    </row>
    <row r="231" spans="1:4" x14ac:dyDescent="0.25">
      <c r="A231" s="1">
        <v>42156</v>
      </c>
      <c r="B231">
        <f>YEAR('base-pms_spbrasil'!E231)</f>
        <v>2015</v>
      </c>
      <c r="C231">
        <f>MONTH('base-pms_spbrasil'!E231)</f>
        <v>6</v>
      </c>
      <c r="D231" s="3" t="str">
        <f>UPPER(TEXT('base-pms_spbrasil'!E231,"MMMM"))</f>
        <v>JUNHO</v>
      </c>
    </row>
    <row r="232" spans="1:4" x14ac:dyDescent="0.25">
      <c r="A232" s="1">
        <v>42186</v>
      </c>
      <c r="B232">
        <f>YEAR('base-pms_spbrasil'!E232)</f>
        <v>2015</v>
      </c>
      <c r="C232">
        <f>MONTH('base-pms_spbrasil'!E232)</f>
        <v>7</v>
      </c>
      <c r="D232" s="3" t="str">
        <f>UPPER(TEXT('base-pms_spbrasil'!E232,"MMMM"))</f>
        <v>JULHO</v>
      </c>
    </row>
    <row r="233" spans="1:4" x14ac:dyDescent="0.25">
      <c r="A233" s="1">
        <v>42217</v>
      </c>
      <c r="B233">
        <f>YEAR('base-pms_spbrasil'!E233)</f>
        <v>2015</v>
      </c>
      <c r="C233">
        <f>MONTH('base-pms_spbrasil'!E233)</f>
        <v>8</v>
      </c>
      <c r="D233" s="3" t="str">
        <f>UPPER(TEXT('base-pms_spbrasil'!E233,"MMMM"))</f>
        <v>AGOSTO</v>
      </c>
    </row>
    <row r="234" spans="1:4" x14ac:dyDescent="0.25">
      <c r="A234" s="1">
        <v>42248</v>
      </c>
      <c r="B234">
        <f>YEAR('base-pms_spbrasil'!E234)</f>
        <v>2015</v>
      </c>
      <c r="C234">
        <f>MONTH('base-pms_spbrasil'!E234)</f>
        <v>9</v>
      </c>
      <c r="D234" s="3" t="str">
        <f>UPPER(TEXT('base-pms_spbrasil'!E234,"MMMM"))</f>
        <v>SETEMBRO</v>
      </c>
    </row>
    <row r="235" spans="1:4" x14ac:dyDescent="0.25">
      <c r="A235" s="1">
        <v>42278</v>
      </c>
      <c r="B235">
        <f>YEAR('base-pms_spbrasil'!E235)</f>
        <v>2015</v>
      </c>
      <c r="C235">
        <f>MONTH('base-pms_spbrasil'!E235)</f>
        <v>10</v>
      </c>
      <c r="D235" s="3" t="str">
        <f>UPPER(TEXT('base-pms_spbrasil'!E235,"MMMM"))</f>
        <v>OUTUBRO</v>
      </c>
    </row>
    <row r="236" spans="1:4" x14ac:dyDescent="0.25">
      <c r="A236" s="1">
        <v>42309</v>
      </c>
      <c r="B236">
        <f>YEAR('base-pms_spbrasil'!E236)</f>
        <v>2015</v>
      </c>
      <c r="C236">
        <f>MONTH('base-pms_spbrasil'!E236)</f>
        <v>11</v>
      </c>
      <c r="D236" s="3" t="str">
        <f>UPPER(TEXT('base-pms_spbrasil'!E236,"MMMM"))</f>
        <v>NOVEMBRO</v>
      </c>
    </row>
    <row r="237" spans="1:4" x14ac:dyDescent="0.25">
      <c r="A237" s="1">
        <v>42339</v>
      </c>
      <c r="B237">
        <f>YEAR('base-pms_spbrasil'!E237)</f>
        <v>2015</v>
      </c>
      <c r="C237">
        <f>MONTH('base-pms_spbrasil'!E237)</f>
        <v>12</v>
      </c>
      <c r="D237" s="3" t="str">
        <f>UPPER(TEXT('base-pms_spbrasil'!E237,"MMMM"))</f>
        <v>DEZEMBRO</v>
      </c>
    </row>
    <row r="238" spans="1:4" x14ac:dyDescent="0.25">
      <c r="A238" s="1">
        <v>42370</v>
      </c>
      <c r="B238">
        <f>YEAR('base-pms_spbrasil'!E238)</f>
        <v>2016</v>
      </c>
      <c r="C238">
        <f>MONTH('base-pms_spbrasil'!E238)</f>
        <v>1</v>
      </c>
      <c r="D238" s="3" t="str">
        <f>UPPER(TEXT('base-pms_spbrasil'!E238,"MMMM"))</f>
        <v>JANEIRO</v>
      </c>
    </row>
    <row r="239" spans="1:4" x14ac:dyDescent="0.25">
      <c r="A239" s="1">
        <v>42401</v>
      </c>
      <c r="B239">
        <f>YEAR('base-pms_spbrasil'!E239)</f>
        <v>2016</v>
      </c>
      <c r="C239">
        <f>MONTH('base-pms_spbrasil'!E239)</f>
        <v>2</v>
      </c>
      <c r="D239" s="3" t="str">
        <f>UPPER(TEXT('base-pms_spbrasil'!E239,"MMMM"))</f>
        <v>FEVEREIRO</v>
      </c>
    </row>
    <row r="240" spans="1:4" x14ac:dyDescent="0.25">
      <c r="A240" s="1">
        <v>42430</v>
      </c>
      <c r="B240">
        <f>YEAR('base-pms_spbrasil'!E240)</f>
        <v>2016</v>
      </c>
      <c r="C240">
        <f>MONTH('base-pms_spbrasil'!E240)</f>
        <v>3</v>
      </c>
      <c r="D240" s="3" t="str">
        <f>UPPER(TEXT('base-pms_spbrasil'!E240,"MMMM"))</f>
        <v>MARÇO</v>
      </c>
    </row>
    <row r="241" spans="1:4" x14ac:dyDescent="0.25">
      <c r="A241" s="1">
        <v>42461</v>
      </c>
      <c r="B241">
        <f>YEAR('base-pms_spbrasil'!E241)</f>
        <v>2016</v>
      </c>
      <c r="C241">
        <f>MONTH('base-pms_spbrasil'!E241)</f>
        <v>4</v>
      </c>
      <c r="D241" s="3" t="str">
        <f>UPPER(TEXT('base-pms_spbrasil'!E241,"MMMM"))</f>
        <v>ABRIL</v>
      </c>
    </row>
    <row r="242" spans="1:4" x14ac:dyDescent="0.25">
      <c r="A242" s="1">
        <v>42491</v>
      </c>
      <c r="B242">
        <f>YEAR('base-pms_spbrasil'!E242)</f>
        <v>2016</v>
      </c>
      <c r="C242">
        <f>MONTH('base-pms_spbrasil'!E242)</f>
        <v>5</v>
      </c>
      <c r="D242" s="3" t="str">
        <f>UPPER(TEXT('base-pms_spbrasil'!E242,"MMMM"))</f>
        <v>MAIO</v>
      </c>
    </row>
    <row r="243" spans="1:4" x14ac:dyDescent="0.25">
      <c r="A243" s="1">
        <v>42522</v>
      </c>
      <c r="B243">
        <f>YEAR('base-pms_spbrasil'!E243)</f>
        <v>2016</v>
      </c>
      <c r="C243">
        <f>MONTH('base-pms_spbrasil'!E243)</f>
        <v>6</v>
      </c>
      <c r="D243" s="3" t="str">
        <f>UPPER(TEXT('base-pms_spbrasil'!E243,"MMMM"))</f>
        <v>JUNHO</v>
      </c>
    </row>
    <row r="244" spans="1:4" x14ac:dyDescent="0.25">
      <c r="A244" s="1">
        <v>42552</v>
      </c>
      <c r="B244">
        <f>YEAR('base-pms_spbrasil'!E244)</f>
        <v>2016</v>
      </c>
      <c r="C244">
        <f>MONTH('base-pms_spbrasil'!E244)</f>
        <v>7</v>
      </c>
      <c r="D244" s="3" t="str">
        <f>UPPER(TEXT('base-pms_spbrasil'!E244,"MMMM"))</f>
        <v>JULHO</v>
      </c>
    </row>
    <row r="245" spans="1:4" x14ac:dyDescent="0.25">
      <c r="A245" s="1">
        <v>42583</v>
      </c>
      <c r="B245">
        <f>YEAR('base-pms_spbrasil'!E245)</f>
        <v>2016</v>
      </c>
      <c r="C245">
        <f>MONTH('base-pms_spbrasil'!E245)</f>
        <v>8</v>
      </c>
      <c r="D245" s="3" t="str">
        <f>UPPER(TEXT('base-pms_spbrasil'!E245,"MMMM"))</f>
        <v>AGOSTO</v>
      </c>
    </row>
    <row r="246" spans="1:4" x14ac:dyDescent="0.25">
      <c r="A246" s="1">
        <v>42614</v>
      </c>
      <c r="B246">
        <f>YEAR('base-pms_spbrasil'!E246)</f>
        <v>2016</v>
      </c>
      <c r="C246">
        <f>MONTH('base-pms_spbrasil'!E246)</f>
        <v>9</v>
      </c>
      <c r="D246" s="3" t="str">
        <f>UPPER(TEXT('base-pms_spbrasil'!E246,"MMMM"))</f>
        <v>SETEMBRO</v>
      </c>
    </row>
    <row r="247" spans="1:4" x14ac:dyDescent="0.25">
      <c r="A247" s="1">
        <v>42644</v>
      </c>
      <c r="B247">
        <f>YEAR('base-pms_spbrasil'!E247)</f>
        <v>2016</v>
      </c>
      <c r="C247">
        <f>MONTH('base-pms_spbrasil'!E247)</f>
        <v>10</v>
      </c>
      <c r="D247" s="3" t="str">
        <f>UPPER(TEXT('base-pms_spbrasil'!E247,"MMMM"))</f>
        <v>OUTUBRO</v>
      </c>
    </row>
    <row r="248" spans="1:4" x14ac:dyDescent="0.25">
      <c r="A248" s="1">
        <v>42675</v>
      </c>
      <c r="B248">
        <f>YEAR('base-pms_spbrasil'!E248)</f>
        <v>2016</v>
      </c>
      <c r="C248">
        <f>MONTH('base-pms_spbrasil'!E248)</f>
        <v>11</v>
      </c>
      <c r="D248" s="3" t="str">
        <f>UPPER(TEXT('base-pms_spbrasil'!E248,"MMMM"))</f>
        <v>NOVEMBRO</v>
      </c>
    </row>
    <row r="249" spans="1:4" x14ac:dyDescent="0.25">
      <c r="A249" s="1">
        <v>42705</v>
      </c>
      <c r="B249">
        <f>YEAR('base-pms_spbrasil'!E249)</f>
        <v>2016</v>
      </c>
      <c r="C249">
        <f>MONTH('base-pms_spbrasil'!E249)</f>
        <v>12</v>
      </c>
      <c r="D249" s="3" t="str">
        <f>UPPER(TEXT('base-pms_spbrasil'!E249,"MMMM"))</f>
        <v>DEZEMBRO</v>
      </c>
    </row>
    <row r="250" spans="1:4" x14ac:dyDescent="0.25">
      <c r="A250" s="1">
        <v>42736</v>
      </c>
      <c r="B250">
        <f>YEAR('base-pms_spbrasil'!E250)</f>
        <v>2017</v>
      </c>
      <c r="C250">
        <f>MONTH('base-pms_spbrasil'!E250)</f>
        <v>1</v>
      </c>
      <c r="D250" s="3" t="str">
        <f>UPPER(TEXT('base-pms_spbrasil'!E250,"MMMM"))</f>
        <v>JANEIRO</v>
      </c>
    </row>
    <row r="251" spans="1:4" x14ac:dyDescent="0.25">
      <c r="A251" s="1">
        <v>42767</v>
      </c>
      <c r="B251">
        <f>YEAR('base-pms_spbrasil'!E251)</f>
        <v>2017</v>
      </c>
      <c r="C251">
        <f>MONTH('base-pms_spbrasil'!E251)</f>
        <v>2</v>
      </c>
      <c r="D251" s="3" t="str">
        <f>UPPER(TEXT('base-pms_spbrasil'!E251,"MMMM"))</f>
        <v>FEVEREIRO</v>
      </c>
    </row>
    <row r="252" spans="1:4" x14ac:dyDescent="0.25">
      <c r="A252" s="1">
        <v>42795</v>
      </c>
      <c r="B252">
        <f>YEAR('base-pms_spbrasil'!E252)</f>
        <v>2017</v>
      </c>
      <c r="C252">
        <f>MONTH('base-pms_spbrasil'!E252)</f>
        <v>3</v>
      </c>
      <c r="D252" s="3" t="str">
        <f>UPPER(TEXT('base-pms_spbrasil'!E252,"MMMM"))</f>
        <v>MARÇO</v>
      </c>
    </row>
    <row r="253" spans="1:4" x14ac:dyDescent="0.25">
      <c r="A253" s="1">
        <v>42826</v>
      </c>
      <c r="B253">
        <f>YEAR('base-pms_spbrasil'!E253)</f>
        <v>2017</v>
      </c>
      <c r="C253">
        <f>MONTH('base-pms_spbrasil'!E253)</f>
        <v>4</v>
      </c>
      <c r="D253" s="3" t="str">
        <f>UPPER(TEXT('base-pms_spbrasil'!E253,"MMMM"))</f>
        <v>ABRIL</v>
      </c>
    </row>
    <row r="254" spans="1:4" x14ac:dyDescent="0.25">
      <c r="A254" s="1">
        <v>42856</v>
      </c>
      <c r="B254">
        <f>YEAR('base-pms_spbrasil'!E254)</f>
        <v>2017</v>
      </c>
      <c r="C254">
        <f>MONTH('base-pms_spbrasil'!E254)</f>
        <v>5</v>
      </c>
      <c r="D254" s="3" t="str">
        <f>UPPER(TEXT('base-pms_spbrasil'!E254,"MMMM"))</f>
        <v>MAIO</v>
      </c>
    </row>
    <row r="255" spans="1:4" x14ac:dyDescent="0.25">
      <c r="A255" s="1">
        <v>42887</v>
      </c>
      <c r="B255">
        <f>YEAR('base-pms_spbrasil'!E255)</f>
        <v>2017</v>
      </c>
      <c r="C255">
        <f>MONTH('base-pms_spbrasil'!E255)</f>
        <v>6</v>
      </c>
      <c r="D255" s="3" t="str">
        <f>UPPER(TEXT('base-pms_spbrasil'!E255,"MMMM"))</f>
        <v>JUNHO</v>
      </c>
    </row>
    <row r="256" spans="1:4" x14ac:dyDescent="0.25">
      <c r="A256" s="1">
        <v>42917</v>
      </c>
      <c r="B256">
        <f>YEAR('base-pms_spbrasil'!E256)</f>
        <v>2017</v>
      </c>
      <c r="C256">
        <f>MONTH('base-pms_spbrasil'!E256)</f>
        <v>7</v>
      </c>
      <c r="D256" s="3" t="str">
        <f>UPPER(TEXT('base-pms_spbrasil'!E256,"MMMM"))</f>
        <v>JULHO</v>
      </c>
    </row>
    <row r="257" spans="1:4" x14ac:dyDescent="0.25">
      <c r="A257" s="1">
        <v>42948</v>
      </c>
      <c r="B257">
        <f>YEAR('base-pms_spbrasil'!E257)</f>
        <v>2017</v>
      </c>
      <c r="C257">
        <f>MONTH('base-pms_spbrasil'!E257)</f>
        <v>8</v>
      </c>
      <c r="D257" s="3" t="str">
        <f>UPPER(TEXT('base-pms_spbrasil'!E257,"MMMM"))</f>
        <v>AGOSTO</v>
      </c>
    </row>
    <row r="258" spans="1:4" x14ac:dyDescent="0.25">
      <c r="A258" s="1">
        <v>42979</v>
      </c>
      <c r="B258">
        <f>YEAR('base-pms_spbrasil'!E258)</f>
        <v>2017</v>
      </c>
      <c r="C258">
        <f>MONTH('base-pms_spbrasil'!E258)</f>
        <v>9</v>
      </c>
      <c r="D258" s="3" t="str">
        <f>UPPER(TEXT('base-pms_spbrasil'!E258,"MMMM"))</f>
        <v>SETEMBRO</v>
      </c>
    </row>
    <row r="259" spans="1:4" x14ac:dyDescent="0.25">
      <c r="A259" s="1">
        <v>43009</v>
      </c>
      <c r="B259">
        <f>YEAR('base-pms_spbrasil'!E259)</f>
        <v>2017</v>
      </c>
      <c r="C259">
        <f>MONTH('base-pms_spbrasil'!E259)</f>
        <v>10</v>
      </c>
      <c r="D259" s="3" t="str">
        <f>UPPER(TEXT('base-pms_spbrasil'!E259,"MMMM"))</f>
        <v>OUTUBRO</v>
      </c>
    </row>
    <row r="260" spans="1:4" x14ac:dyDescent="0.25">
      <c r="A260" s="1">
        <v>43040</v>
      </c>
      <c r="B260">
        <f>YEAR('base-pms_spbrasil'!E260)</f>
        <v>2017</v>
      </c>
      <c r="C260">
        <f>MONTH('base-pms_spbrasil'!E260)</f>
        <v>11</v>
      </c>
      <c r="D260" s="3" t="str">
        <f>UPPER(TEXT('base-pms_spbrasil'!E260,"MMMM"))</f>
        <v>NOVEMBRO</v>
      </c>
    </row>
    <row r="261" spans="1:4" x14ac:dyDescent="0.25">
      <c r="A261" s="1">
        <v>43070</v>
      </c>
      <c r="B261">
        <f>YEAR('base-pms_spbrasil'!E261)</f>
        <v>2017</v>
      </c>
      <c r="C261">
        <f>MONTH('base-pms_spbrasil'!E261)</f>
        <v>12</v>
      </c>
      <c r="D261" s="3" t="str">
        <f>UPPER(TEXT('base-pms_spbrasil'!E261,"MMMM"))</f>
        <v>DEZEMBRO</v>
      </c>
    </row>
    <row r="262" spans="1:4" x14ac:dyDescent="0.25">
      <c r="A262" s="1">
        <v>43101</v>
      </c>
      <c r="B262">
        <f>YEAR('base-pms_spbrasil'!E262)</f>
        <v>2018</v>
      </c>
      <c r="C262">
        <f>MONTH('base-pms_spbrasil'!E262)</f>
        <v>1</v>
      </c>
      <c r="D262" s="3" t="str">
        <f>UPPER(TEXT('base-pms_spbrasil'!E262,"MMMM"))</f>
        <v>JANEIRO</v>
      </c>
    </row>
    <row r="263" spans="1:4" x14ac:dyDescent="0.25">
      <c r="A263" s="1">
        <v>43132</v>
      </c>
      <c r="B263">
        <f>YEAR('base-pms_spbrasil'!E263)</f>
        <v>2018</v>
      </c>
      <c r="C263">
        <f>MONTH('base-pms_spbrasil'!E263)</f>
        <v>2</v>
      </c>
      <c r="D263" s="3" t="str">
        <f>UPPER(TEXT('base-pms_spbrasil'!E263,"MMMM"))</f>
        <v>FEVEREIRO</v>
      </c>
    </row>
    <row r="264" spans="1:4" x14ac:dyDescent="0.25">
      <c r="A264" s="1">
        <v>43160</v>
      </c>
      <c r="B264">
        <f>YEAR('base-pms_spbrasil'!E264)</f>
        <v>2018</v>
      </c>
      <c r="C264">
        <f>MONTH('base-pms_spbrasil'!E264)</f>
        <v>3</v>
      </c>
      <c r="D264" s="3" t="str">
        <f>UPPER(TEXT('base-pms_spbrasil'!E264,"MMMM"))</f>
        <v>MARÇO</v>
      </c>
    </row>
    <row r="265" spans="1:4" x14ac:dyDescent="0.25">
      <c r="A265" s="1">
        <v>43191</v>
      </c>
      <c r="B265">
        <f>YEAR('base-pms_spbrasil'!E265)</f>
        <v>2018</v>
      </c>
      <c r="C265">
        <f>MONTH('base-pms_spbrasil'!E265)</f>
        <v>4</v>
      </c>
      <c r="D265" s="3" t="str">
        <f>UPPER(TEXT('base-pms_spbrasil'!E265,"MMMM"))</f>
        <v>ABRIL</v>
      </c>
    </row>
    <row r="266" spans="1:4" x14ac:dyDescent="0.25">
      <c r="A266" s="1">
        <v>43221</v>
      </c>
      <c r="B266">
        <f>YEAR('base-pms_spbrasil'!E266)</f>
        <v>2018</v>
      </c>
      <c r="C266">
        <f>MONTH('base-pms_spbrasil'!E266)</f>
        <v>5</v>
      </c>
      <c r="D266" s="3" t="str">
        <f>UPPER(TEXT('base-pms_spbrasil'!E266,"MMMM"))</f>
        <v>MAIO</v>
      </c>
    </row>
    <row r="267" spans="1:4" x14ac:dyDescent="0.25">
      <c r="A267" s="1">
        <v>43252</v>
      </c>
      <c r="B267">
        <f>YEAR('base-pms_spbrasil'!E267)</f>
        <v>2018</v>
      </c>
      <c r="C267">
        <f>MONTH('base-pms_spbrasil'!E267)</f>
        <v>6</v>
      </c>
      <c r="D267" s="3" t="str">
        <f>UPPER(TEXT('base-pms_spbrasil'!E267,"MMMM"))</f>
        <v>JUNHO</v>
      </c>
    </row>
    <row r="268" spans="1:4" x14ac:dyDescent="0.25">
      <c r="A268" s="1">
        <v>43282</v>
      </c>
      <c r="B268">
        <f>YEAR('base-pms_spbrasil'!E268)</f>
        <v>2018</v>
      </c>
      <c r="C268">
        <f>MONTH('base-pms_spbrasil'!E268)</f>
        <v>7</v>
      </c>
      <c r="D268" s="3" t="str">
        <f>UPPER(TEXT('base-pms_spbrasil'!E268,"MMMM"))</f>
        <v>JULHO</v>
      </c>
    </row>
    <row r="269" spans="1:4" x14ac:dyDescent="0.25">
      <c r="A269" s="1">
        <v>43313</v>
      </c>
      <c r="B269">
        <f>YEAR('base-pms_spbrasil'!E269)</f>
        <v>2018</v>
      </c>
      <c r="C269">
        <f>MONTH('base-pms_spbrasil'!E269)</f>
        <v>8</v>
      </c>
      <c r="D269" s="3" t="str">
        <f>UPPER(TEXT('base-pms_spbrasil'!E269,"MMMM"))</f>
        <v>AGOSTO</v>
      </c>
    </row>
    <row r="270" spans="1:4" x14ac:dyDescent="0.25">
      <c r="A270" s="1">
        <v>43344</v>
      </c>
      <c r="B270">
        <f>YEAR('base-pms_spbrasil'!E270)</f>
        <v>2018</v>
      </c>
      <c r="C270">
        <f>MONTH('base-pms_spbrasil'!E270)</f>
        <v>9</v>
      </c>
      <c r="D270" s="3" t="str">
        <f>UPPER(TEXT('base-pms_spbrasil'!E270,"MMMM"))</f>
        <v>SETEMBRO</v>
      </c>
    </row>
    <row r="271" spans="1:4" x14ac:dyDescent="0.25">
      <c r="A271" s="1">
        <v>43374</v>
      </c>
      <c r="B271">
        <f>YEAR('base-pms_spbrasil'!E271)</f>
        <v>2018</v>
      </c>
      <c r="C271">
        <f>MONTH('base-pms_spbrasil'!E271)</f>
        <v>10</v>
      </c>
      <c r="D271" s="3" t="str">
        <f>UPPER(TEXT('base-pms_spbrasil'!E271,"MMMM"))</f>
        <v>OUTUBRO</v>
      </c>
    </row>
    <row r="272" spans="1:4" x14ac:dyDescent="0.25">
      <c r="A272" s="1">
        <v>43405</v>
      </c>
      <c r="B272">
        <f>YEAR('base-pms_spbrasil'!E272)</f>
        <v>2018</v>
      </c>
      <c r="C272">
        <f>MONTH('base-pms_spbrasil'!E272)</f>
        <v>11</v>
      </c>
      <c r="D272" s="3" t="str">
        <f>UPPER(TEXT('base-pms_spbrasil'!E272,"MMMM"))</f>
        <v>NOVEMBRO</v>
      </c>
    </row>
    <row r="273" spans="1:4" x14ac:dyDescent="0.25">
      <c r="A273" s="1">
        <v>43435</v>
      </c>
      <c r="B273">
        <f>YEAR('base-pms_spbrasil'!E273)</f>
        <v>2018</v>
      </c>
      <c r="C273">
        <f>MONTH('base-pms_spbrasil'!E273)</f>
        <v>12</v>
      </c>
      <c r="D273" s="3" t="str">
        <f>UPPER(TEXT('base-pms_spbrasil'!E273,"MMMM"))</f>
        <v>DEZEMBRO</v>
      </c>
    </row>
    <row r="274" spans="1:4" x14ac:dyDescent="0.25">
      <c r="A274" s="1">
        <v>43466</v>
      </c>
      <c r="B274">
        <f>YEAR('base-pms_spbrasil'!E274)</f>
        <v>2019</v>
      </c>
      <c r="C274">
        <f>MONTH('base-pms_spbrasil'!E274)</f>
        <v>1</v>
      </c>
      <c r="D274" s="3" t="str">
        <f>UPPER(TEXT('base-pms_spbrasil'!E274,"MMMM"))</f>
        <v>JANEIRO</v>
      </c>
    </row>
    <row r="275" spans="1:4" x14ac:dyDescent="0.25">
      <c r="A275" s="1">
        <v>43497</v>
      </c>
      <c r="B275">
        <f>YEAR('base-pms_spbrasil'!E275)</f>
        <v>2019</v>
      </c>
      <c r="C275">
        <f>MONTH('base-pms_spbrasil'!E275)</f>
        <v>2</v>
      </c>
      <c r="D275" s="3" t="str">
        <f>UPPER(TEXT('base-pms_spbrasil'!E275,"MMMM"))</f>
        <v>FEVEREIRO</v>
      </c>
    </row>
    <row r="276" spans="1:4" x14ac:dyDescent="0.25">
      <c r="A276" s="1">
        <v>43525</v>
      </c>
      <c r="B276">
        <f>YEAR('base-pms_spbrasil'!E276)</f>
        <v>2019</v>
      </c>
      <c r="C276">
        <f>MONTH('base-pms_spbrasil'!E276)</f>
        <v>3</v>
      </c>
      <c r="D276" s="3" t="str">
        <f>UPPER(TEXT('base-pms_spbrasil'!E276,"MMMM"))</f>
        <v>MARÇO</v>
      </c>
    </row>
    <row r="277" spans="1:4" x14ac:dyDescent="0.25">
      <c r="A277" s="1">
        <v>43556</v>
      </c>
      <c r="B277">
        <f>YEAR('base-pms_spbrasil'!E277)</f>
        <v>2019</v>
      </c>
      <c r="C277">
        <f>MONTH('base-pms_spbrasil'!E277)</f>
        <v>4</v>
      </c>
      <c r="D277" s="3" t="str">
        <f>UPPER(TEXT('base-pms_spbrasil'!E277,"MMMM"))</f>
        <v>ABRIL</v>
      </c>
    </row>
    <row r="278" spans="1:4" x14ac:dyDescent="0.25">
      <c r="A278" s="1">
        <v>43586</v>
      </c>
      <c r="B278">
        <f>YEAR('base-pms_spbrasil'!E278)</f>
        <v>2019</v>
      </c>
      <c r="C278">
        <f>MONTH('base-pms_spbrasil'!E278)</f>
        <v>5</v>
      </c>
      <c r="D278" s="3" t="str">
        <f>UPPER(TEXT('base-pms_spbrasil'!E278,"MMMM"))</f>
        <v>MAIO</v>
      </c>
    </row>
    <row r="279" spans="1:4" x14ac:dyDescent="0.25">
      <c r="A279" s="1">
        <v>43617</v>
      </c>
      <c r="B279">
        <f>YEAR('base-pms_spbrasil'!E279)</f>
        <v>2019</v>
      </c>
      <c r="C279">
        <f>MONTH('base-pms_spbrasil'!E279)</f>
        <v>6</v>
      </c>
      <c r="D279" s="3" t="str">
        <f>UPPER(TEXT('base-pms_spbrasil'!E279,"MMMM"))</f>
        <v>JUNHO</v>
      </c>
    </row>
    <row r="280" spans="1:4" x14ac:dyDescent="0.25">
      <c r="A280" s="1">
        <v>43647</v>
      </c>
      <c r="B280">
        <f>YEAR('base-pms_spbrasil'!E280)</f>
        <v>2019</v>
      </c>
      <c r="C280">
        <f>MONTH('base-pms_spbrasil'!E280)</f>
        <v>7</v>
      </c>
      <c r="D280" s="3" t="str">
        <f>UPPER(TEXT('base-pms_spbrasil'!E280,"MMMM"))</f>
        <v>JULHO</v>
      </c>
    </row>
    <row r="281" spans="1:4" x14ac:dyDescent="0.25">
      <c r="A281" s="1">
        <v>43678</v>
      </c>
      <c r="B281">
        <f>YEAR('base-pms_spbrasil'!E281)</f>
        <v>2019</v>
      </c>
      <c r="C281">
        <f>MONTH('base-pms_spbrasil'!E281)</f>
        <v>8</v>
      </c>
      <c r="D281" s="3" t="str">
        <f>UPPER(TEXT('base-pms_spbrasil'!E281,"MMMM"))</f>
        <v>AGOSTO</v>
      </c>
    </row>
    <row r="282" spans="1:4" x14ac:dyDescent="0.25">
      <c r="A282" s="1">
        <v>43709</v>
      </c>
      <c r="B282">
        <f>YEAR('base-pms_spbrasil'!E282)</f>
        <v>2019</v>
      </c>
      <c r="C282">
        <f>MONTH('base-pms_spbrasil'!E282)</f>
        <v>9</v>
      </c>
      <c r="D282" s="3" t="str">
        <f>UPPER(TEXT('base-pms_spbrasil'!E282,"MMMM"))</f>
        <v>SETEMBRO</v>
      </c>
    </row>
    <row r="283" spans="1:4" x14ac:dyDescent="0.25">
      <c r="A283" s="1">
        <v>43739</v>
      </c>
      <c r="B283">
        <f>YEAR('base-pms_spbrasil'!E283)</f>
        <v>2019</v>
      </c>
      <c r="C283">
        <f>MONTH('base-pms_spbrasil'!E283)</f>
        <v>10</v>
      </c>
      <c r="D283" s="3" t="str">
        <f>UPPER(TEXT('base-pms_spbrasil'!E283,"MMMM"))</f>
        <v>OUTUBRO</v>
      </c>
    </row>
    <row r="284" spans="1:4" x14ac:dyDescent="0.25">
      <c r="A284" s="1">
        <v>43770</v>
      </c>
      <c r="B284">
        <f>YEAR('base-pms_spbrasil'!E284)</f>
        <v>2019</v>
      </c>
      <c r="C284">
        <f>MONTH('base-pms_spbrasil'!E284)</f>
        <v>11</v>
      </c>
      <c r="D284" s="3" t="str">
        <f>UPPER(TEXT('base-pms_spbrasil'!E284,"MMMM"))</f>
        <v>NOVEMBRO</v>
      </c>
    </row>
    <row r="285" spans="1:4" x14ac:dyDescent="0.25">
      <c r="A285" s="1">
        <v>43800</v>
      </c>
      <c r="B285">
        <f>YEAR('base-pms_spbrasil'!E285)</f>
        <v>2019</v>
      </c>
      <c r="C285">
        <f>MONTH('base-pms_spbrasil'!E285)</f>
        <v>12</v>
      </c>
      <c r="D285" s="3" t="str">
        <f>UPPER(TEXT('base-pms_spbrasil'!E285,"MMMM"))</f>
        <v>DEZEMBRO</v>
      </c>
    </row>
    <row r="286" spans="1:4" x14ac:dyDescent="0.25">
      <c r="A286" s="1">
        <v>43831</v>
      </c>
      <c r="B286">
        <f>YEAR('base-pms_spbrasil'!E286)</f>
        <v>2020</v>
      </c>
      <c r="C286">
        <f>MONTH('base-pms_spbrasil'!E286)</f>
        <v>1</v>
      </c>
      <c r="D286" s="3" t="str">
        <f>UPPER(TEXT('base-pms_spbrasil'!E286,"MMMM"))</f>
        <v>JANEIRO</v>
      </c>
    </row>
    <row r="287" spans="1:4" x14ac:dyDescent="0.25">
      <c r="A287" s="1">
        <v>43862</v>
      </c>
      <c r="B287">
        <f>YEAR('base-pms_spbrasil'!E287)</f>
        <v>2020</v>
      </c>
      <c r="C287">
        <f>MONTH('base-pms_spbrasil'!E287)</f>
        <v>2</v>
      </c>
      <c r="D287" s="3" t="str">
        <f>UPPER(TEXT('base-pms_spbrasil'!E287,"MMMM"))</f>
        <v>FEVEREIRO</v>
      </c>
    </row>
    <row r="288" spans="1:4" x14ac:dyDescent="0.25">
      <c r="A288" s="1">
        <v>43891</v>
      </c>
      <c r="B288">
        <f>YEAR('base-pms_spbrasil'!E288)</f>
        <v>2020</v>
      </c>
      <c r="C288">
        <f>MONTH('base-pms_spbrasil'!E288)</f>
        <v>3</v>
      </c>
      <c r="D288" s="3" t="str">
        <f>UPPER(TEXT('base-pms_spbrasil'!E288,"MMMM"))</f>
        <v>MARÇO</v>
      </c>
    </row>
    <row r="289" spans="1:4" x14ac:dyDescent="0.25">
      <c r="A289" s="1">
        <v>43922</v>
      </c>
      <c r="B289">
        <f>YEAR('base-pms_spbrasil'!E289)</f>
        <v>2020</v>
      </c>
      <c r="C289">
        <f>MONTH('base-pms_spbrasil'!E289)</f>
        <v>4</v>
      </c>
      <c r="D289" s="3" t="str">
        <f>UPPER(TEXT('base-pms_spbrasil'!E289,"MMMM"))</f>
        <v>ABRIL</v>
      </c>
    </row>
    <row r="290" spans="1:4" x14ac:dyDescent="0.25">
      <c r="A290" s="1">
        <v>43952</v>
      </c>
      <c r="B290">
        <f>YEAR('base-pms_spbrasil'!E290)</f>
        <v>2020</v>
      </c>
      <c r="C290">
        <f>MONTH('base-pms_spbrasil'!E290)</f>
        <v>5</v>
      </c>
      <c r="D290" s="3" t="str">
        <f>UPPER(TEXT('base-pms_spbrasil'!E290,"MMMM"))</f>
        <v>MAIO</v>
      </c>
    </row>
    <row r="291" spans="1:4" x14ac:dyDescent="0.25">
      <c r="A291" s="1">
        <v>43983</v>
      </c>
      <c r="B291">
        <f>YEAR('base-pms_spbrasil'!E291)</f>
        <v>2020</v>
      </c>
      <c r="C291">
        <f>MONTH('base-pms_spbrasil'!E291)</f>
        <v>6</v>
      </c>
      <c r="D291" s="3" t="str">
        <f>UPPER(TEXT('base-pms_spbrasil'!E291,"MMMM"))</f>
        <v>JUNHO</v>
      </c>
    </row>
    <row r="292" spans="1:4" x14ac:dyDescent="0.25">
      <c r="A292" s="1">
        <v>44013</v>
      </c>
      <c r="B292">
        <f>YEAR('base-pms_spbrasil'!E292)</f>
        <v>2020</v>
      </c>
      <c r="C292">
        <f>MONTH('base-pms_spbrasil'!E292)</f>
        <v>7</v>
      </c>
      <c r="D292" s="3" t="str">
        <f>UPPER(TEXT('base-pms_spbrasil'!E292,"MMMM"))</f>
        <v>JULHO</v>
      </c>
    </row>
    <row r="293" spans="1:4" x14ac:dyDescent="0.25">
      <c r="A293" s="1">
        <v>44044</v>
      </c>
      <c r="B293">
        <f>YEAR('base-pms_spbrasil'!E293)</f>
        <v>2020</v>
      </c>
      <c r="C293">
        <f>MONTH('base-pms_spbrasil'!E293)</f>
        <v>8</v>
      </c>
      <c r="D293" s="3" t="str">
        <f>UPPER(TEXT('base-pms_spbrasil'!E293,"MMMM"))</f>
        <v>AGOSTO</v>
      </c>
    </row>
    <row r="294" spans="1:4" x14ac:dyDescent="0.25">
      <c r="A294" s="1">
        <v>44075</v>
      </c>
      <c r="B294">
        <f>YEAR('base-pms_spbrasil'!E294)</f>
        <v>2020</v>
      </c>
      <c r="C294">
        <f>MONTH('base-pms_spbrasil'!E294)</f>
        <v>9</v>
      </c>
      <c r="D294" s="3" t="str">
        <f>UPPER(TEXT('base-pms_spbrasil'!E294,"MMMM"))</f>
        <v>SETEMBRO</v>
      </c>
    </row>
    <row r="295" spans="1:4" x14ac:dyDescent="0.25">
      <c r="A295" s="1">
        <v>44105</v>
      </c>
      <c r="B295">
        <f>YEAR('base-pms_spbrasil'!E295)</f>
        <v>2020</v>
      </c>
      <c r="C295">
        <f>MONTH('base-pms_spbrasil'!E295)</f>
        <v>10</v>
      </c>
      <c r="D295" s="3" t="str">
        <f>UPPER(TEXT('base-pms_spbrasil'!E295,"MMMM"))</f>
        <v>OUTUBRO</v>
      </c>
    </row>
    <row r="296" spans="1:4" x14ac:dyDescent="0.25">
      <c r="A296" s="1">
        <v>44136</v>
      </c>
      <c r="B296">
        <f>YEAR('base-pms_spbrasil'!E296)</f>
        <v>2020</v>
      </c>
      <c r="C296">
        <f>MONTH('base-pms_spbrasil'!E296)</f>
        <v>11</v>
      </c>
      <c r="D296" s="3" t="str">
        <f>UPPER(TEXT('base-pms_spbrasil'!E296,"MMMM"))</f>
        <v>NOVEMBRO</v>
      </c>
    </row>
    <row r="297" spans="1:4" x14ac:dyDescent="0.25">
      <c r="A297" s="1">
        <v>44166</v>
      </c>
      <c r="B297">
        <f>YEAR('base-pms_spbrasil'!E297)</f>
        <v>2020</v>
      </c>
      <c r="C297">
        <f>MONTH('base-pms_spbrasil'!E297)</f>
        <v>12</v>
      </c>
      <c r="D297" s="3" t="str">
        <f>UPPER(TEXT('base-pms_spbrasil'!E297,"MMMM"))</f>
        <v>DEZEMBRO</v>
      </c>
    </row>
    <row r="298" spans="1:4" x14ac:dyDescent="0.25">
      <c r="A298" s="1">
        <v>44197</v>
      </c>
      <c r="B298">
        <f>YEAR('base-pms_spbrasil'!E298)</f>
        <v>2021</v>
      </c>
      <c r="C298">
        <f>MONTH('base-pms_spbrasil'!E298)</f>
        <v>1</v>
      </c>
      <c r="D298" s="3" t="str">
        <f>UPPER(TEXT('base-pms_spbrasil'!E298,"MMMM"))</f>
        <v>JANEIRO</v>
      </c>
    </row>
    <row r="299" spans="1:4" x14ac:dyDescent="0.25">
      <c r="A299" s="1">
        <v>44228</v>
      </c>
      <c r="B299">
        <f>YEAR('base-pms_spbrasil'!E299)</f>
        <v>2021</v>
      </c>
      <c r="C299">
        <f>MONTH('base-pms_spbrasil'!E299)</f>
        <v>2</v>
      </c>
      <c r="D299" s="3" t="str">
        <f>UPPER(TEXT('base-pms_spbrasil'!E299,"MMMM"))</f>
        <v>FEVEREIRO</v>
      </c>
    </row>
    <row r="300" spans="1:4" x14ac:dyDescent="0.25">
      <c r="A300" s="1">
        <v>44256</v>
      </c>
      <c r="B300">
        <f>YEAR('base-pms_spbrasil'!E300)</f>
        <v>2021</v>
      </c>
      <c r="C300">
        <f>MONTH('base-pms_spbrasil'!E300)</f>
        <v>3</v>
      </c>
      <c r="D300" s="3" t="str">
        <f>UPPER(TEXT('base-pms_spbrasil'!E300,"MMMM"))</f>
        <v>MARÇO</v>
      </c>
    </row>
    <row r="301" spans="1:4" x14ac:dyDescent="0.25">
      <c r="A301" s="1">
        <v>44287</v>
      </c>
      <c r="B301">
        <f>YEAR('base-pms_spbrasil'!E301)</f>
        <v>2021</v>
      </c>
      <c r="C301">
        <f>MONTH('base-pms_spbrasil'!E301)</f>
        <v>4</v>
      </c>
      <c r="D301" s="3" t="str">
        <f>UPPER(TEXT('base-pms_spbrasil'!E301,"MMMM"))</f>
        <v>ABRIL</v>
      </c>
    </row>
    <row r="302" spans="1:4" x14ac:dyDescent="0.25">
      <c r="A302" s="1">
        <v>44317</v>
      </c>
      <c r="B302">
        <f>YEAR('base-pms_spbrasil'!E302)</f>
        <v>2021</v>
      </c>
      <c r="C302">
        <f>MONTH('base-pms_spbrasil'!E302)</f>
        <v>5</v>
      </c>
      <c r="D302" s="3" t="str">
        <f>UPPER(TEXT('base-pms_spbrasil'!E302,"MMMM"))</f>
        <v>MAIO</v>
      </c>
    </row>
    <row r="303" spans="1:4" x14ac:dyDescent="0.25">
      <c r="A303" s="1">
        <v>44348</v>
      </c>
      <c r="B303">
        <f>YEAR('base-pms_spbrasil'!E303)</f>
        <v>2021</v>
      </c>
      <c r="C303">
        <f>MONTH('base-pms_spbrasil'!E303)</f>
        <v>6</v>
      </c>
      <c r="D303" s="3" t="str">
        <f>UPPER(TEXT('base-pms_spbrasil'!E303,"MMMM"))</f>
        <v>JUNHO</v>
      </c>
    </row>
    <row r="304" spans="1:4" x14ac:dyDescent="0.25">
      <c r="A304" s="1">
        <v>44378</v>
      </c>
      <c r="B304">
        <f>YEAR('base-pms_spbrasil'!E304)</f>
        <v>2021</v>
      </c>
      <c r="C304">
        <f>MONTH('base-pms_spbrasil'!E304)</f>
        <v>7</v>
      </c>
      <c r="D304" s="3" t="str">
        <f>UPPER(TEXT('base-pms_spbrasil'!E304,"MMMM"))</f>
        <v>JULHO</v>
      </c>
    </row>
    <row r="305" spans="1:4" x14ac:dyDescent="0.25">
      <c r="A305" s="1">
        <v>44409</v>
      </c>
      <c r="B305">
        <f>YEAR('base-pms_spbrasil'!E305)</f>
        <v>2021</v>
      </c>
      <c r="C305">
        <f>MONTH('base-pms_spbrasil'!E305)</f>
        <v>8</v>
      </c>
      <c r="D305" s="3" t="str">
        <f>UPPER(TEXT('base-pms_spbrasil'!E305,"MMMM"))</f>
        <v>AGOSTO</v>
      </c>
    </row>
    <row r="306" spans="1:4" x14ac:dyDescent="0.25">
      <c r="A306" s="1">
        <v>44440</v>
      </c>
      <c r="B306">
        <f>YEAR('base-pms_spbrasil'!E306)</f>
        <v>2021</v>
      </c>
      <c r="C306">
        <f>MONTH('base-pms_spbrasil'!E306)</f>
        <v>9</v>
      </c>
      <c r="D306" s="3" t="str">
        <f>UPPER(TEXT('base-pms_spbrasil'!E306,"MMMM"))</f>
        <v>SETEMBRO</v>
      </c>
    </row>
    <row r="307" spans="1:4" x14ac:dyDescent="0.25">
      <c r="A307" s="1">
        <v>44470</v>
      </c>
      <c r="B307">
        <f>YEAR('base-pms_spbrasil'!E307)</f>
        <v>2021</v>
      </c>
      <c r="C307">
        <f>MONTH('base-pms_spbrasil'!E307)</f>
        <v>10</v>
      </c>
      <c r="D307" s="3" t="str">
        <f>UPPER(TEXT('base-pms_spbrasil'!E307,"MMMM"))</f>
        <v>OUTUBRO</v>
      </c>
    </row>
    <row r="308" spans="1:4" x14ac:dyDescent="0.25">
      <c r="A308" s="1">
        <v>44501</v>
      </c>
      <c r="B308">
        <f>YEAR('base-pms_spbrasil'!E308)</f>
        <v>2021</v>
      </c>
      <c r="C308">
        <f>MONTH('base-pms_spbrasil'!E308)</f>
        <v>11</v>
      </c>
      <c r="D308" s="3" t="str">
        <f>UPPER(TEXT('base-pms_spbrasil'!E308,"MMMM"))</f>
        <v>NOVEMBRO</v>
      </c>
    </row>
    <row r="309" spans="1:4" x14ac:dyDescent="0.25">
      <c r="A309" s="1">
        <v>44531</v>
      </c>
      <c r="B309">
        <f>YEAR('base-pms_spbrasil'!E309)</f>
        <v>2021</v>
      </c>
      <c r="C309">
        <f>MONTH('base-pms_spbrasil'!E309)</f>
        <v>12</v>
      </c>
      <c r="D309" s="3" t="str">
        <f>UPPER(TEXT('base-pms_spbrasil'!E309,"MMMM"))</f>
        <v>DEZEMBRO</v>
      </c>
    </row>
    <row r="310" spans="1:4" x14ac:dyDescent="0.25">
      <c r="A310" s="1">
        <v>44562</v>
      </c>
      <c r="B310">
        <f>YEAR('base-pms_spbrasil'!E310)</f>
        <v>2022</v>
      </c>
      <c r="C310">
        <f>MONTH('base-pms_spbrasil'!E310)</f>
        <v>1</v>
      </c>
      <c r="D310" s="3" t="str">
        <f>UPPER(TEXT('base-pms_spbrasil'!E310,"MMMM"))</f>
        <v>JANEIRO</v>
      </c>
    </row>
    <row r="311" spans="1:4" x14ac:dyDescent="0.25">
      <c r="A311" s="1">
        <v>44593</v>
      </c>
      <c r="B311">
        <f>YEAR('base-pms_spbrasil'!E311)</f>
        <v>2022</v>
      </c>
      <c r="C311">
        <f>MONTH('base-pms_spbrasil'!E311)</f>
        <v>2</v>
      </c>
      <c r="D311" s="3" t="str">
        <f>UPPER(TEXT('base-pms_spbrasil'!E311,"MMMM"))</f>
        <v>FEVEREIRO</v>
      </c>
    </row>
    <row r="312" spans="1:4" x14ac:dyDescent="0.25">
      <c r="A312" s="1">
        <v>44621</v>
      </c>
      <c r="B312">
        <f>YEAR('base-pms_spbrasil'!E312)</f>
        <v>2022</v>
      </c>
      <c r="C312">
        <f>MONTH('base-pms_spbrasil'!E312)</f>
        <v>3</v>
      </c>
      <c r="D312" s="3" t="str">
        <f>UPPER(TEXT('base-pms_spbrasil'!E312,"MMMM"))</f>
        <v>MARÇO</v>
      </c>
    </row>
    <row r="313" spans="1:4" x14ac:dyDescent="0.25">
      <c r="A313" s="1">
        <v>44652</v>
      </c>
      <c r="B313">
        <f>YEAR('base-pms_spbrasil'!E313)</f>
        <v>2022</v>
      </c>
      <c r="C313">
        <f>MONTH('base-pms_spbrasil'!E313)</f>
        <v>4</v>
      </c>
      <c r="D313" s="3" t="str">
        <f>UPPER(TEXT('base-pms_spbrasil'!E313,"MMMM"))</f>
        <v>ABRIL</v>
      </c>
    </row>
    <row r="314" spans="1:4" x14ac:dyDescent="0.25">
      <c r="A314" s="1">
        <v>44682</v>
      </c>
      <c r="B314">
        <f>YEAR('base-pms_spbrasil'!E314)</f>
        <v>2022</v>
      </c>
      <c r="C314">
        <f>MONTH('base-pms_spbrasil'!E314)</f>
        <v>5</v>
      </c>
      <c r="D314" s="3" t="str">
        <f>UPPER(TEXT('base-pms_spbrasil'!E314,"MMMM"))</f>
        <v>MAIO</v>
      </c>
    </row>
    <row r="315" spans="1:4" x14ac:dyDescent="0.25">
      <c r="A315" s="1">
        <v>44713</v>
      </c>
      <c r="B315">
        <f>YEAR('base-pms_spbrasil'!E315)</f>
        <v>2022</v>
      </c>
      <c r="C315">
        <f>MONTH('base-pms_spbrasil'!E315)</f>
        <v>6</v>
      </c>
      <c r="D315" s="3" t="str">
        <f>UPPER(TEXT('base-pms_spbrasil'!E315,"MMMM"))</f>
        <v>JUNHO</v>
      </c>
    </row>
    <row r="316" spans="1:4" x14ac:dyDescent="0.25">
      <c r="A316" s="1">
        <v>44743</v>
      </c>
      <c r="B316">
        <f>YEAR('base-pms_spbrasil'!E316)</f>
        <v>2022</v>
      </c>
      <c r="C316">
        <f>MONTH('base-pms_spbrasil'!E316)</f>
        <v>7</v>
      </c>
      <c r="D316" s="3" t="str">
        <f>UPPER(TEXT('base-pms_spbrasil'!E316,"MMMM"))</f>
        <v>JULHO</v>
      </c>
    </row>
    <row r="317" spans="1:4" x14ac:dyDescent="0.25">
      <c r="A317" s="1">
        <v>44774</v>
      </c>
      <c r="B317">
        <f>YEAR('base-pms_spbrasil'!E317)</f>
        <v>2022</v>
      </c>
      <c r="C317">
        <f>MONTH('base-pms_spbrasil'!E317)</f>
        <v>8</v>
      </c>
      <c r="D317" s="3" t="str">
        <f>UPPER(TEXT('base-pms_spbrasil'!E317,"MMMM"))</f>
        <v>AGOSTO</v>
      </c>
    </row>
    <row r="318" spans="1:4" x14ac:dyDescent="0.25">
      <c r="A318" s="1">
        <v>44805</v>
      </c>
      <c r="B318">
        <f>YEAR('base-pms_spbrasil'!E318)</f>
        <v>2022</v>
      </c>
      <c r="C318">
        <f>MONTH('base-pms_spbrasil'!E318)</f>
        <v>9</v>
      </c>
      <c r="D318" s="3" t="str">
        <f>UPPER(TEXT('base-pms_spbrasil'!E318,"MMMM"))</f>
        <v>SETEMBRO</v>
      </c>
    </row>
    <row r="319" spans="1:4" x14ac:dyDescent="0.25">
      <c r="A319" s="1">
        <v>44835</v>
      </c>
      <c r="B319">
        <f>YEAR('base-pms_spbrasil'!E319)</f>
        <v>2022</v>
      </c>
      <c r="C319">
        <f>MONTH('base-pms_spbrasil'!E319)</f>
        <v>10</v>
      </c>
      <c r="D319" s="3" t="str">
        <f>UPPER(TEXT('base-pms_spbrasil'!E319,"MMMM"))</f>
        <v>OUTUBRO</v>
      </c>
    </row>
    <row r="320" spans="1:4" x14ac:dyDescent="0.25">
      <c r="A320" s="1">
        <v>44866</v>
      </c>
      <c r="B320">
        <f>YEAR('base-pms_spbrasil'!E320)</f>
        <v>2022</v>
      </c>
      <c r="C320">
        <f>MONTH('base-pms_spbrasil'!E320)</f>
        <v>11</v>
      </c>
      <c r="D320" s="3" t="str">
        <f>UPPER(TEXT('base-pms_spbrasil'!E320,"MMMM"))</f>
        <v>NOVEMBRO</v>
      </c>
    </row>
    <row r="321" spans="1:4" x14ac:dyDescent="0.25">
      <c r="A321" s="1">
        <v>44896</v>
      </c>
      <c r="B321">
        <f>YEAR('base-pms_spbrasil'!E321)</f>
        <v>2022</v>
      </c>
      <c r="C321">
        <f>MONTH('base-pms_spbrasil'!E321)</f>
        <v>12</v>
      </c>
      <c r="D321" s="3" t="str">
        <f>UPPER(TEXT('base-pms_spbrasil'!E321,"MMMM"))</f>
        <v>DEZEMBRO</v>
      </c>
    </row>
    <row r="322" spans="1:4" x14ac:dyDescent="0.25">
      <c r="A322" s="1">
        <v>44927</v>
      </c>
      <c r="B322">
        <f>YEAR('base-pms_spbrasil'!E322)</f>
        <v>2023</v>
      </c>
      <c r="C322">
        <f>MONTH('base-pms_spbrasil'!E322)</f>
        <v>1</v>
      </c>
      <c r="D322" s="3" t="str">
        <f>UPPER(TEXT('base-pms_spbrasil'!E322,"MMMM"))</f>
        <v>JANEIRO</v>
      </c>
    </row>
    <row r="323" spans="1:4" x14ac:dyDescent="0.25">
      <c r="A323" s="1">
        <v>44958</v>
      </c>
      <c r="B323">
        <f>YEAR('base-pms_spbrasil'!E323)</f>
        <v>2023</v>
      </c>
      <c r="C323">
        <f>MONTH('base-pms_spbrasil'!E323)</f>
        <v>2</v>
      </c>
      <c r="D323" s="3" t="str">
        <f>UPPER(TEXT('base-pms_spbrasil'!E323,"MMMM"))</f>
        <v>FEVEREIRO</v>
      </c>
    </row>
    <row r="324" spans="1:4" x14ac:dyDescent="0.25">
      <c r="A324" s="1">
        <v>44986</v>
      </c>
      <c r="B324">
        <f>YEAR('base-pms_spbrasil'!E324)</f>
        <v>2023</v>
      </c>
      <c r="C324">
        <f>MONTH('base-pms_spbrasil'!E324)</f>
        <v>3</v>
      </c>
      <c r="D324" s="3" t="str">
        <f>UPPER(TEXT('base-pms_spbrasil'!E324,"MMMM"))</f>
        <v>MARÇO</v>
      </c>
    </row>
    <row r="325" spans="1:4" x14ac:dyDescent="0.25">
      <c r="A325" s="1">
        <v>45017</v>
      </c>
      <c r="B325">
        <f>YEAR('base-pms_spbrasil'!E325)</f>
        <v>2023</v>
      </c>
      <c r="C325">
        <f>MONTH('base-pms_spbrasil'!E325)</f>
        <v>4</v>
      </c>
      <c r="D325" s="3" t="str">
        <f>UPPER(TEXT('base-pms_spbrasil'!E325,"MMMM"))</f>
        <v>ABRIL</v>
      </c>
    </row>
    <row r="326" spans="1:4" x14ac:dyDescent="0.25">
      <c r="A326" s="1">
        <v>45047</v>
      </c>
      <c r="B326">
        <f>YEAR('base-pms_spbrasil'!E326)</f>
        <v>2023</v>
      </c>
      <c r="C326">
        <f>MONTH('base-pms_spbrasil'!E326)</f>
        <v>5</v>
      </c>
      <c r="D326" s="3" t="str">
        <f>UPPER(TEXT('base-pms_spbrasil'!E326,"MMMM"))</f>
        <v>MAIO</v>
      </c>
    </row>
    <row r="327" spans="1:4" x14ac:dyDescent="0.25">
      <c r="A327" s="1">
        <v>45078</v>
      </c>
      <c r="B327">
        <f>YEAR('base-pms_spbrasil'!E327)</f>
        <v>2023</v>
      </c>
      <c r="C327">
        <f>MONTH('base-pms_spbrasil'!E327)</f>
        <v>6</v>
      </c>
      <c r="D327" s="3" t="str">
        <f>UPPER(TEXT('base-pms_spbrasil'!E327,"MMMM"))</f>
        <v>JUNHO</v>
      </c>
    </row>
    <row r="328" spans="1:4" x14ac:dyDescent="0.25">
      <c r="A328" s="1">
        <v>45108</v>
      </c>
      <c r="B328">
        <f>YEAR('base-pms_spbrasil'!E328)</f>
        <v>2023</v>
      </c>
      <c r="C328">
        <f>MONTH('base-pms_spbrasil'!E328)</f>
        <v>7</v>
      </c>
      <c r="D328" s="3" t="str">
        <f>UPPER(TEXT('base-pms_spbrasil'!E328,"MMMM"))</f>
        <v>JULHO</v>
      </c>
    </row>
    <row r="329" spans="1:4" x14ac:dyDescent="0.25">
      <c r="A329" s="1">
        <v>45139</v>
      </c>
      <c r="B329">
        <f>YEAR('base-pms_spbrasil'!E329)</f>
        <v>2023</v>
      </c>
      <c r="C329">
        <f>MONTH('base-pms_spbrasil'!E329)</f>
        <v>8</v>
      </c>
      <c r="D329" s="3" t="str">
        <f>UPPER(TEXT('base-pms_spbrasil'!E329,"MMMM"))</f>
        <v>AGOSTO</v>
      </c>
    </row>
    <row r="330" spans="1:4" x14ac:dyDescent="0.25">
      <c r="A330" s="1">
        <v>45170</v>
      </c>
      <c r="B330">
        <f>YEAR('base-pms_spbrasil'!E330)</f>
        <v>2023</v>
      </c>
      <c r="C330">
        <f>MONTH('base-pms_spbrasil'!E330)</f>
        <v>9</v>
      </c>
      <c r="D330" s="3" t="str">
        <f>UPPER(TEXT('base-pms_spbrasil'!E330,"MMMM"))</f>
        <v>SETEMBRO</v>
      </c>
    </row>
    <row r="331" spans="1:4" x14ac:dyDescent="0.25">
      <c r="A331" s="1">
        <v>45200</v>
      </c>
      <c r="B331">
        <f>YEAR('base-pms_spbrasil'!E331)</f>
        <v>2023</v>
      </c>
      <c r="C331">
        <f>MONTH('base-pms_spbrasil'!E331)</f>
        <v>10</v>
      </c>
      <c r="D331" s="3" t="str">
        <f>UPPER(TEXT('base-pms_spbrasil'!E331,"MMMM"))</f>
        <v>OUTUBRO</v>
      </c>
    </row>
    <row r="332" spans="1:4" x14ac:dyDescent="0.25">
      <c r="A332" s="1">
        <v>45231</v>
      </c>
      <c r="B332">
        <f>YEAR('base-pms_spbrasil'!E332)</f>
        <v>2023</v>
      </c>
      <c r="C332">
        <f>MONTH('base-pms_spbrasil'!E332)</f>
        <v>11</v>
      </c>
      <c r="D332" s="3" t="str">
        <f>UPPER(TEXT('base-pms_spbrasil'!E332,"MMMM"))</f>
        <v>NOVEMBRO</v>
      </c>
    </row>
    <row r="333" spans="1:4" x14ac:dyDescent="0.25">
      <c r="A333" s="1">
        <v>45261</v>
      </c>
      <c r="B333">
        <f>YEAR('base-pms_spbrasil'!E333)</f>
        <v>2023</v>
      </c>
      <c r="C333">
        <f>MONTH('base-pms_spbrasil'!E333)</f>
        <v>12</v>
      </c>
      <c r="D333" s="3" t="str">
        <f>UPPER(TEXT('base-pms_spbrasil'!E333,"MMMM"))</f>
        <v>DEZEMBRO</v>
      </c>
    </row>
    <row r="334" spans="1:4" x14ac:dyDescent="0.25">
      <c r="A334" s="1">
        <v>45292</v>
      </c>
      <c r="B334">
        <f>YEAR('base-pms_spbrasil'!E334)</f>
        <v>2024</v>
      </c>
      <c r="C334">
        <f>MONTH('base-pms_spbrasil'!E334)</f>
        <v>1</v>
      </c>
      <c r="D334" s="3" t="str">
        <f>UPPER(TEXT('base-pms_spbrasil'!E334,"MMMM"))</f>
        <v>JANEIRO</v>
      </c>
    </row>
    <row r="335" spans="1:4" x14ac:dyDescent="0.25">
      <c r="A335" s="1">
        <v>45323</v>
      </c>
      <c r="B335">
        <f>YEAR('base-pms_spbrasil'!E335)</f>
        <v>2024</v>
      </c>
      <c r="C335">
        <f>MONTH('base-pms_spbrasil'!E335)</f>
        <v>2</v>
      </c>
      <c r="D335" s="3" t="str">
        <f>UPPER(TEXT('base-pms_spbrasil'!E335,"MMMM"))</f>
        <v>FEVEREIRO</v>
      </c>
    </row>
    <row r="336" spans="1:4" x14ac:dyDescent="0.25">
      <c r="A336" s="1">
        <v>45352</v>
      </c>
      <c r="B336">
        <f>YEAR('base-pms_spbrasil'!E336)</f>
        <v>2024</v>
      </c>
      <c r="C336">
        <f>MONTH('base-pms_spbrasil'!E336)</f>
        <v>3</v>
      </c>
      <c r="D336" s="3" t="str">
        <f>UPPER(TEXT('base-pms_spbrasil'!E336,"MMMM"))</f>
        <v>MARÇO</v>
      </c>
    </row>
    <row r="337" spans="1:4" x14ac:dyDescent="0.25">
      <c r="A337" s="1">
        <v>45383</v>
      </c>
      <c r="B337">
        <f>YEAR('base-pms_spbrasil'!E337)</f>
        <v>2024</v>
      </c>
      <c r="C337">
        <f>MONTH('base-pms_spbrasil'!E337)</f>
        <v>4</v>
      </c>
      <c r="D337" s="3" t="str">
        <f>UPPER(TEXT('base-pms_spbrasil'!E337,"MMMM"))</f>
        <v>ABRIL</v>
      </c>
    </row>
    <row r="338" spans="1:4" x14ac:dyDescent="0.25">
      <c r="A338" s="1">
        <v>45413</v>
      </c>
      <c r="B338">
        <f>YEAR('base-pms_spbrasil'!E338)</f>
        <v>2024</v>
      </c>
      <c r="C338">
        <f>MONTH('base-pms_spbrasil'!E338)</f>
        <v>5</v>
      </c>
      <c r="D338" s="3" t="str">
        <f>UPPER(TEXT('base-pms_spbrasil'!E338,"MMMM"))</f>
        <v>MAIO</v>
      </c>
    </row>
    <row r="339" spans="1:4" x14ac:dyDescent="0.25">
      <c r="A339" s="1">
        <v>45444</v>
      </c>
      <c r="B339">
        <f>YEAR('base-pms_spbrasil'!E339)</f>
        <v>2024</v>
      </c>
      <c r="C339">
        <f>MONTH('base-pms_spbrasil'!E339)</f>
        <v>6</v>
      </c>
      <c r="D339" s="3" t="str">
        <f>UPPER(TEXT('base-pms_spbrasil'!E339,"MMMM"))</f>
        <v>JUNHO</v>
      </c>
    </row>
    <row r="340" spans="1:4" x14ac:dyDescent="0.25">
      <c r="A340" s="1">
        <v>45474</v>
      </c>
      <c r="B340">
        <f>YEAR('base-pms_spbrasil'!E340)</f>
        <v>2024</v>
      </c>
      <c r="C340">
        <f>MONTH('base-pms_spbrasil'!E340)</f>
        <v>7</v>
      </c>
      <c r="D340" s="3" t="str">
        <f>UPPER(TEXT('base-pms_spbrasil'!E340,"MMMM"))</f>
        <v>JULHO</v>
      </c>
    </row>
    <row r="341" spans="1:4" x14ac:dyDescent="0.25">
      <c r="A341" s="1">
        <v>45505</v>
      </c>
      <c r="B341">
        <f>YEAR('base-pms_spbrasil'!E341)</f>
        <v>2024</v>
      </c>
      <c r="C341">
        <f>MONTH('base-pms_spbrasil'!E341)</f>
        <v>8</v>
      </c>
      <c r="D341" s="3" t="str">
        <f>UPPER(TEXT('base-pms_spbrasil'!E341,"MMMM"))</f>
        <v>AGOSTO</v>
      </c>
    </row>
    <row r="342" spans="1:4" x14ac:dyDescent="0.25">
      <c r="A342" s="1">
        <v>45536</v>
      </c>
      <c r="B342">
        <f>YEAR('base-pms_spbrasil'!E342)</f>
        <v>2024</v>
      </c>
      <c r="C342">
        <f>MONTH('base-pms_spbrasil'!E342)</f>
        <v>9</v>
      </c>
      <c r="D342" s="3" t="str">
        <f>UPPER(TEXT('base-pms_spbrasil'!E342,"MMMM"))</f>
        <v>SETEMBRO</v>
      </c>
    </row>
    <row r="343" spans="1:4" x14ac:dyDescent="0.25">
      <c r="A343" s="1">
        <v>45566</v>
      </c>
      <c r="B343">
        <f>YEAR('base-pms_spbrasil'!E343)</f>
        <v>2024</v>
      </c>
      <c r="C343">
        <f>MONTH('base-pms_spbrasil'!E343)</f>
        <v>10</v>
      </c>
      <c r="D343" s="3" t="str">
        <f>UPPER(TEXT('base-pms_spbrasil'!E343,"MMMM"))</f>
        <v>OUTUBRO</v>
      </c>
    </row>
    <row r="344" spans="1:4" x14ac:dyDescent="0.25">
      <c r="A344" s="1">
        <v>45597</v>
      </c>
      <c r="B344">
        <f>YEAR('base-pms_spbrasil'!E344)</f>
        <v>2024</v>
      </c>
      <c r="C344">
        <f>MONTH('base-pms_spbrasil'!E344)</f>
        <v>11</v>
      </c>
      <c r="D344" s="3" t="str">
        <f>UPPER(TEXT('base-pms_spbrasil'!E344,"MMMM"))</f>
        <v>NOVEMBRO</v>
      </c>
    </row>
    <row r="345" spans="1:4" x14ac:dyDescent="0.25">
      <c r="A345" s="1">
        <v>45627</v>
      </c>
      <c r="B345">
        <f>YEAR('base-pms_spbrasil'!E345)</f>
        <v>2024</v>
      </c>
      <c r="C345">
        <f>MONTH('base-pms_spbrasil'!E345)</f>
        <v>12</v>
      </c>
      <c r="D345" s="3" t="str">
        <f>UPPER(TEXT('base-pms_spbrasil'!E345,"MMMM"))</f>
        <v>DEZEMBRO</v>
      </c>
    </row>
    <row r="346" spans="1:4" x14ac:dyDescent="0.25">
      <c r="A346" s="1">
        <v>45658</v>
      </c>
      <c r="B346">
        <f>YEAR('base-pms_spbrasil'!E346)</f>
        <v>2025</v>
      </c>
      <c r="C346">
        <f>MONTH('base-pms_spbrasil'!E346)</f>
        <v>1</v>
      </c>
      <c r="D346" s="3" t="str">
        <f>UPPER(TEXT('base-pms_spbrasil'!E346,"MMMM"))</f>
        <v>JANEIRO</v>
      </c>
    </row>
    <row r="347" spans="1:4" x14ac:dyDescent="0.25">
      <c r="A347" s="1">
        <v>45689</v>
      </c>
      <c r="B347">
        <f>YEAR('base-pms_spbrasil'!E347)</f>
        <v>2025</v>
      </c>
      <c r="C347">
        <f>MONTH('base-pms_spbrasil'!E347)</f>
        <v>2</v>
      </c>
      <c r="D347" s="3" t="str">
        <f>UPPER(TEXT('base-pms_spbrasil'!E347,"MMMM"))</f>
        <v>FEVEREIRO</v>
      </c>
    </row>
    <row r="348" spans="1:4" x14ac:dyDescent="0.25">
      <c r="A348" s="1">
        <v>45717</v>
      </c>
      <c r="B348">
        <f>YEAR('base-pms_spbrasil'!E348)</f>
        <v>2025</v>
      </c>
      <c r="C348">
        <f>MONTH('base-pms_spbrasil'!E348)</f>
        <v>3</v>
      </c>
      <c r="D348" s="3" t="str">
        <f>UPPER(TEXT('base-pms_spbrasil'!E348,"MMMM"))</f>
        <v>MARÇO</v>
      </c>
    </row>
    <row r="349" spans="1:4" x14ac:dyDescent="0.25">
      <c r="A349" s="1">
        <v>45748</v>
      </c>
      <c r="B349">
        <f>YEAR('base-pms_spbrasil'!E349)</f>
        <v>2025</v>
      </c>
      <c r="C349">
        <f>MONTH('base-pms_spbrasil'!E349)</f>
        <v>4</v>
      </c>
      <c r="D349" s="3" t="str">
        <f>UPPER(TEXT('base-pms_spbrasil'!E349,"MMMM"))</f>
        <v>ABRIL</v>
      </c>
    </row>
    <row r="350" spans="1:4" x14ac:dyDescent="0.25">
      <c r="A350" s="1">
        <v>45778</v>
      </c>
      <c r="B350">
        <f>YEAR('base-pms_spbrasil'!E350)</f>
        <v>2025</v>
      </c>
      <c r="C350">
        <f>MONTH('base-pms_spbrasil'!E350)</f>
        <v>5</v>
      </c>
      <c r="D350" s="3" t="str">
        <f>UPPER(TEXT('base-pms_spbrasil'!E350,"MMMM"))</f>
        <v>MAIO</v>
      </c>
    </row>
    <row r="351" spans="1:4" x14ac:dyDescent="0.25">
      <c r="A351" s="1">
        <v>45809</v>
      </c>
      <c r="B351">
        <f>YEAR('base-pms_spbrasil'!E351)</f>
        <v>2025</v>
      </c>
      <c r="C351">
        <f>MONTH('base-pms_spbrasil'!E351)</f>
        <v>6</v>
      </c>
      <c r="D351" s="3" t="str">
        <f>UPPER(TEXT('base-pms_spbrasil'!E351,"MMMM"))</f>
        <v>JUNHO</v>
      </c>
    </row>
    <row r="352" spans="1:4" x14ac:dyDescent="0.25">
      <c r="A352" s="1">
        <v>45839</v>
      </c>
      <c r="B352">
        <f>YEAR('base-pms_spbrasil'!E352)</f>
        <v>2025</v>
      </c>
      <c r="C352">
        <f>MONTH('base-pms_spbrasil'!E352)</f>
        <v>7</v>
      </c>
      <c r="D352" s="3" t="str">
        <f>UPPER(TEXT('base-pms_spbrasil'!E352,"MMMM"))</f>
        <v>JULHO</v>
      </c>
    </row>
    <row r="353" spans="1:4" x14ac:dyDescent="0.25">
      <c r="A353" s="1">
        <v>45870</v>
      </c>
      <c r="B353">
        <f>YEAR('base-pms_spbrasil'!E353)</f>
        <v>2025</v>
      </c>
      <c r="C353">
        <f>MONTH('base-pms_spbrasil'!E353)</f>
        <v>8</v>
      </c>
      <c r="D353" s="3" t="str">
        <f>UPPER(TEXT('base-pms_spbrasil'!E353,"MMMM"))</f>
        <v>AGOSTO</v>
      </c>
    </row>
    <row r="354" spans="1:4" x14ac:dyDescent="0.25">
      <c r="A354" s="1">
        <v>40544</v>
      </c>
      <c r="B354">
        <f>YEAR('base-pms_spbrasil'!E354)</f>
        <v>2011</v>
      </c>
      <c r="C354">
        <f>MONTH('base-pms_spbrasil'!E354)</f>
        <v>1</v>
      </c>
      <c r="D354" s="3" t="str">
        <f>UPPER(TEXT('base-pms_spbrasil'!E354,"MMMM"))</f>
        <v>JANEIRO</v>
      </c>
    </row>
    <row r="355" spans="1:4" x14ac:dyDescent="0.25">
      <c r="A355" s="1">
        <v>40575</v>
      </c>
      <c r="B355">
        <f>YEAR('base-pms_spbrasil'!E355)</f>
        <v>2011</v>
      </c>
      <c r="C355">
        <f>MONTH('base-pms_spbrasil'!E355)</f>
        <v>2</v>
      </c>
      <c r="D355" s="3" t="str">
        <f>UPPER(TEXT('base-pms_spbrasil'!E355,"MMMM"))</f>
        <v>FEVEREIRO</v>
      </c>
    </row>
    <row r="356" spans="1:4" x14ac:dyDescent="0.25">
      <c r="A356" s="1">
        <v>40603</v>
      </c>
      <c r="B356">
        <f>YEAR('base-pms_spbrasil'!E356)</f>
        <v>2011</v>
      </c>
      <c r="C356">
        <f>MONTH('base-pms_spbrasil'!E356)</f>
        <v>3</v>
      </c>
      <c r="D356" s="3" t="str">
        <f>UPPER(TEXT('base-pms_spbrasil'!E356,"MMMM"))</f>
        <v>MARÇO</v>
      </c>
    </row>
    <row r="357" spans="1:4" x14ac:dyDescent="0.25">
      <c r="A357" s="1">
        <v>40634</v>
      </c>
      <c r="B357">
        <f>YEAR('base-pms_spbrasil'!E357)</f>
        <v>2011</v>
      </c>
      <c r="C357">
        <f>MONTH('base-pms_spbrasil'!E357)</f>
        <v>4</v>
      </c>
      <c r="D357" s="3" t="str">
        <f>UPPER(TEXT('base-pms_spbrasil'!E357,"MMMM"))</f>
        <v>ABRIL</v>
      </c>
    </row>
    <row r="358" spans="1:4" x14ac:dyDescent="0.25">
      <c r="A358" s="1">
        <v>40664</v>
      </c>
      <c r="B358">
        <f>YEAR('base-pms_spbrasil'!E358)</f>
        <v>2011</v>
      </c>
      <c r="C358">
        <f>MONTH('base-pms_spbrasil'!E358)</f>
        <v>5</v>
      </c>
      <c r="D358" s="3" t="str">
        <f>UPPER(TEXT('base-pms_spbrasil'!E358,"MMMM"))</f>
        <v>MAIO</v>
      </c>
    </row>
    <row r="359" spans="1:4" x14ac:dyDescent="0.25">
      <c r="A359" s="1">
        <v>40695</v>
      </c>
      <c r="B359">
        <f>YEAR('base-pms_spbrasil'!E359)</f>
        <v>2011</v>
      </c>
      <c r="C359">
        <f>MONTH('base-pms_spbrasil'!E359)</f>
        <v>6</v>
      </c>
      <c r="D359" s="3" t="str">
        <f>UPPER(TEXT('base-pms_spbrasil'!E359,"MMMM"))</f>
        <v>JUNHO</v>
      </c>
    </row>
    <row r="360" spans="1:4" x14ac:dyDescent="0.25">
      <c r="A360" s="1">
        <v>40725</v>
      </c>
      <c r="B360">
        <f>YEAR('base-pms_spbrasil'!E360)</f>
        <v>2011</v>
      </c>
      <c r="C360">
        <f>MONTH('base-pms_spbrasil'!E360)</f>
        <v>7</v>
      </c>
      <c r="D360" s="3" t="str">
        <f>UPPER(TEXT('base-pms_spbrasil'!E360,"MMMM"))</f>
        <v>JULHO</v>
      </c>
    </row>
    <row r="361" spans="1:4" x14ac:dyDescent="0.25">
      <c r="A361" s="1">
        <v>40756</v>
      </c>
      <c r="B361">
        <f>YEAR('base-pms_spbrasil'!E361)</f>
        <v>2011</v>
      </c>
      <c r="C361">
        <f>MONTH('base-pms_spbrasil'!E361)</f>
        <v>8</v>
      </c>
      <c r="D361" s="3" t="str">
        <f>UPPER(TEXT('base-pms_spbrasil'!E361,"MMMM"))</f>
        <v>AGOSTO</v>
      </c>
    </row>
    <row r="362" spans="1:4" x14ac:dyDescent="0.25">
      <c r="A362" s="1">
        <v>40787</v>
      </c>
      <c r="B362">
        <f>YEAR('base-pms_spbrasil'!E362)</f>
        <v>2011</v>
      </c>
      <c r="C362">
        <f>MONTH('base-pms_spbrasil'!E362)</f>
        <v>9</v>
      </c>
      <c r="D362" s="3" t="str">
        <f>UPPER(TEXT('base-pms_spbrasil'!E362,"MMMM"))</f>
        <v>SETEMBRO</v>
      </c>
    </row>
    <row r="363" spans="1:4" x14ac:dyDescent="0.25">
      <c r="A363" s="1">
        <v>40817</v>
      </c>
      <c r="B363">
        <f>YEAR('base-pms_spbrasil'!E363)</f>
        <v>2011</v>
      </c>
      <c r="C363">
        <f>MONTH('base-pms_spbrasil'!E363)</f>
        <v>10</v>
      </c>
      <c r="D363" s="3" t="str">
        <f>UPPER(TEXT('base-pms_spbrasil'!E363,"MMMM"))</f>
        <v>OUTUBRO</v>
      </c>
    </row>
    <row r="364" spans="1:4" x14ac:dyDescent="0.25">
      <c r="A364" s="1">
        <v>40848</v>
      </c>
      <c r="B364">
        <f>YEAR('base-pms_spbrasil'!E364)</f>
        <v>2011</v>
      </c>
      <c r="C364">
        <f>MONTH('base-pms_spbrasil'!E364)</f>
        <v>11</v>
      </c>
      <c r="D364" s="3" t="str">
        <f>UPPER(TEXT('base-pms_spbrasil'!E364,"MMMM"))</f>
        <v>NOVEMBRO</v>
      </c>
    </row>
    <row r="365" spans="1:4" x14ac:dyDescent="0.25">
      <c r="A365" s="1">
        <v>40878</v>
      </c>
      <c r="B365">
        <f>YEAR('base-pms_spbrasil'!E365)</f>
        <v>2011</v>
      </c>
      <c r="C365">
        <f>MONTH('base-pms_spbrasil'!E365)</f>
        <v>12</v>
      </c>
      <c r="D365" s="3" t="str">
        <f>UPPER(TEXT('base-pms_spbrasil'!E365,"MMMM"))</f>
        <v>DEZEMBRO</v>
      </c>
    </row>
    <row r="366" spans="1:4" x14ac:dyDescent="0.25">
      <c r="A366" s="1">
        <v>40909</v>
      </c>
      <c r="B366">
        <f>YEAR('base-pms_spbrasil'!E366)</f>
        <v>2012</v>
      </c>
      <c r="C366">
        <f>MONTH('base-pms_spbrasil'!E366)</f>
        <v>1</v>
      </c>
      <c r="D366" s="3" t="str">
        <f>UPPER(TEXT('base-pms_spbrasil'!E366,"MMMM"))</f>
        <v>JANEIRO</v>
      </c>
    </row>
    <row r="367" spans="1:4" x14ac:dyDescent="0.25">
      <c r="A367" s="1">
        <v>40940</v>
      </c>
      <c r="B367">
        <f>YEAR('base-pms_spbrasil'!E367)</f>
        <v>2012</v>
      </c>
      <c r="C367">
        <f>MONTH('base-pms_spbrasil'!E367)</f>
        <v>2</v>
      </c>
      <c r="D367" s="3" t="str">
        <f>UPPER(TEXT('base-pms_spbrasil'!E367,"MMMM"))</f>
        <v>FEVEREIRO</v>
      </c>
    </row>
    <row r="368" spans="1:4" x14ac:dyDescent="0.25">
      <c r="A368" s="1">
        <v>40969</v>
      </c>
      <c r="B368">
        <f>YEAR('base-pms_spbrasil'!E368)</f>
        <v>2012</v>
      </c>
      <c r="C368">
        <f>MONTH('base-pms_spbrasil'!E368)</f>
        <v>3</v>
      </c>
      <c r="D368" s="3" t="str">
        <f>UPPER(TEXT('base-pms_spbrasil'!E368,"MMMM"))</f>
        <v>MARÇO</v>
      </c>
    </row>
    <row r="369" spans="1:4" x14ac:dyDescent="0.25">
      <c r="A369" s="1">
        <v>41000</v>
      </c>
      <c r="B369">
        <f>YEAR('base-pms_spbrasil'!E369)</f>
        <v>2012</v>
      </c>
      <c r="C369">
        <f>MONTH('base-pms_spbrasil'!E369)</f>
        <v>4</v>
      </c>
      <c r="D369" s="3" t="str">
        <f>UPPER(TEXT('base-pms_spbrasil'!E369,"MMMM"))</f>
        <v>ABRIL</v>
      </c>
    </row>
    <row r="370" spans="1:4" x14ac:dyDescent="0.25">
      <c r="A370" s="1">
        <v>41030</v>
      </c>
      <c r="B370">
        <f>YEAR('base-pms_spbrasil'!E370)</f>
        <v>2012</v>
      </c>
      <c r="C370">
        <f>MONTH('base-pms_spbrasil'!E370)</f>
        <v>5</v>
      </c>
      <c r="D370" s="3" t="str">
        <f>UPPER(TEXT('base-pms_spbrasil'!E370,"MMMM"))</f>
        <v>MAIO</v>
      </c>
    </row>
    <row r="371" spans="1:4" x14ac:dyDescent="0.25">
      <c r="A371" s="1">
        <v>41061</v>
      </c>
      <c r="B371">
        <f>YEAR('base-pms_spbrasil'!E371)</f>
        <v>2012</v>
      </c>
      <c r="C371">
        <f>MONTH('base-pms_spbrasil'!E371)</f>
        <v>6</v>
      </c>
      <c r="D371" s="3" t="str">
        <f>UPPER(TEXT('base-pms_spbrasil'!E371,"MMMM"))</f>
        <v>JUNHO</v>
      </c>
    </row>
    <row r="372" spans="1:4" x14ac:dyDescent="0.25">
      <c r="A372" s="1">
        <v>41091</v>
      </c>
      <c r="B372">
        <f>YEAR('base-pms_spbrasil'!E372)</f>
        <v>2012</v>
      </c>
      <c r="C372">
        <f>MONTH('base-pms_spbrasil'!E372)</f>
        <v>7</v>
      </c>
      <c r="D372" s="3" t="str">
        <f>UPPER(TEXT('base-pms_spbrasil'!E372,"MMMM"))</f>
        <v>JULHO</v>
      </c>
    </row>
    <row r="373" spans="1:4" x14ac:dyDescent="0.25">
      <c r="A373" s="1">
        <v>41122</v>
      </c>
      <c r="B373">
        <f>YEAR('base-pms_spbrasil'!E373)</f>
        <v>2012</v>
      </c>
      <c r="C373">
        <f>MONTH('base-pms_spbrasil'!E373)</f>
        <v>8</v>
      </c>
      <c r="D373" s="3" t="str">
        <f>UPPER(TEXT('base-pms_spbrasil'!E373,"MMMM"))</f>
        <v>AGOSTO</v>
      </c>
    </row>
    <row r="374" spans="1:4" x14ac:dyDescent="0.25">
      <c r="A374" s="1">
        <v>41153</v>
      </c>
      <c r="B374">
        <f>YEAR('base-pms_spbrasil'!E374)</f>
        <v>2012</v>
      </c>
      <c r="C374">
        <f>MONTH('base-pms_spbrasil'!E374)</f>
        <v>9</v>
      </c>
      <c r="D374" s="3" t="str">
        <f>UPPER(TEXT('base-pms_spbrasil'!E374,"MMMM"))</f>
        <v>SETEMBRO</v>
      </c>
    </row>
    <row r="375" spans="1:4" x14ac:dyDescent="0.25">
      <c r="A375" s="1">
        <v>41183</v>
      </c>
      <c r="B375">
        <f>YEAR('base-pms_spbrasil'!E375)</f>
        <v>2012</v>
      </c>
      <c r="C375">
        <f>MONTH('base-pms_spbrasil'!E375)</f>
        <v>10</v>
      </c>
      <c r="D375" s="3" t="str">
        <f>UPPER(TEXT('base-pms_spbrasil'!E375,"MMMM"))</f>
        <v>OUTUBRO</v>
      </c>
    </row>
    <row r="376" spans="1:4" x14ac:dyDescent="0.25">
      <c r="A376" s="1">
        <v>41214</v>
      </c>
      <c r="B376">
        <f>YEAR('base-pms_spbrasil'!E376)</f>
        <v>2012</v>
      </c>
      <c r="C376">
        <f>MONTH('base-pms_spbrasil'!E376)</f>
        <v>11</v>
      </c>
      <c r="D376" s="3" t="str">
        <f>UPPER(TEXT('base-pms_spbrasil'!E376,"MMMM"))</f>
        <v>NOVEMBRO</v>
      </c>
    </row>
    <row r="377" spans="1:4" x14ac:dyDescent="0.25">
      <c r="A377" s="1">
        <v>41244</v>
      </c>
      <c r="B377">
        <f>YEAR('base-pms_spbrasil'!E377)</f>
        <v>2012</v>
      </c>
      <c r="C377">
        <f>MONTH('base-pms_spbrasil'!E377)</f>
        <v>12</v>
      </c>
      <c r="D377" s="3" t="str">
        <f>UPPER(TEXT('base-pms_spbrasil'!E377,"MMMM"))</f>
        <v>DEZEMBRO</v>
      </c>
    </row>
    <row r="378" spans="1:4" x14ac:dyDescent="0.25">
      <c r="A378" s="1">
        <v>41275</v>
      </c>
      <c r="B378">
        <f>YEAR('base-pms_spbrasil'!E378)</f>
        <v>2013</v>
      </c>
      <c r="C378">
        <f>MONTH('base-pms_spbrasil'!E378)</f>
        <v>1</v>
      </c>
      <c r="D378" s="3" t="str">
        <f>UPPER(TEXT('base-pms_spbrasil'!E378,"MMMM"))</f>
        <v>JANEIRO</v>
      </c>
    </row>
    <row r="379" spans="1:4" x14ac:dyDescent="0.25">
      <c r="A379" s="1">
        <v>41306</v>
      </c>
      <c r="B379">
        <f>YEAR('base-pms_spbrasil'!E379)</f>
        <v>2013</v>
      </c>
      <c r="C379">
        <f>MONTH('base-pms_spbrasil'!E379)</f>
        <v>2</v>
      </c>
      <c r="D379" s="3" t="str">
        <f>UPPER(TEXT('base-pms_spbrasil'!E379,"MMMM"))</f>
        <v>FEVEREIRO</v>
      </c>
    </row>
    <row r="380" spans="1:4" x14ac:dyDescent="0.25">
      <c r="A380" s="1">
        <v>41334</v>
      </c>
      <c r="B380">
        <f>YEAR('base-pms_spbrasil'!E380)</f>
        <v>2013</v>
      </c>
      <c r="C380">
        <f>MONTH('base-pms_spbrasil'!E380)</f>
        <v>3</v>
      </c>
      <c r="D380" s="3" t="str">
        <f>UPPER(TEXT('base-pms_spbrasil'!E380,"MMMM"))</f>
        <v>MARÇO</v>
      </c>
    </row>
    <row r="381" spans="1:4" x14ac:dyDescent="0.25">
      <c r="A381" s="1">
        <v>41365</v>
      </c>
      <c r="B381">
        <f>YEAR('base-pms_spbrasil'!E381)</f>
        <v>2013</v>
      </c>
      <c r="C381">
        <f>MONTH('base-pms_spbrasil'!E381)</f>
        <v>4</v>
      </c>
      <c r="D381" s="3" t="str">
        <f>UPPER(TEXT('base-pms_spbrasil'!E381,"MMMM"))</f>
        <v>ABRIL</v>
      </c>
    </row>
    <row r="382" spans="1:4" x14ac:dyDescent="0.25">
      <c r="A382" s="1">
        <v>41395</v>
      </c>
      <c r="B382">
        <f>YEAR('base-pms_spbrasil'!E382)</f>
        <v>2013</v>
      </c>
      <c r="C382">
        <f>MONTH('base-pms_spbrasil'!E382)</f>
        <v>5</v>
      </c>
      <c r="D382" s="3" t="str">
        <f>UPPER(TEXT('base-pms_spbrasil'!E382,"MMMM"))</f>
        <v>MAIO</v>
      </c>
    </row>
    <row r="383" spans="1:4" x14ac:dyDescent="0.25">
      <c r="A383" s="1">
        <v>41426</v>
      </c>
      <c r="B383">
        <f>YEAR('base-pms_spbrasil'!E383)</f>
        <v>2013</v>
      </c>
      <c r="C383">
        <f>MONTH('base-pms_spbrasil'!E383)</f>
        <v>6</v>
      </c>
      <c r="D383" s="3" t="str">
        <f>UPPER(TEXT('base-pms_spbrasil'!E383,"MMMM"))</f>
        <v>JUNHO</v>
      </c>
    </row>
    <row r="384" spans="1:4" x14ac:dyDescent="0.25">
      <c r="A384" s="1">
        <v>41456</v>
      </c>
      <c r="B384">
        <f>YEAR('base-pms_spbrasil'!E384)</f>
        <v>2013</v>
      </c>
      <c r="C384">
        <f>MONTH('base-pms_spbrasil'!E384)</f>
        <v>7</v>
      </c>
      <c r="D384" s="3" t="str">
        <f>UPPER(TEXT('base-pms_spbrasil'!E384,"MMMM"))</f>
        <v>JULHO</v>
      </c>
    </row>
    <row r="385" spans="1:4" x14ac:dyDescent="0.25">
      <c r="A385" s="1">
        <v>41487</v>
      </c>
      <c r="B385">
        <f>YEAR('base-pms_spbrasil'!E385)</f>
        <v>2013</v>
      </c>
      <c r="C385">
        <f>MONTH('base-pms_spbrasil'!E385)</f>
        <v>8</v>
      </c>
      <c r="D385" s="3" t="str">
        <f>UPPER(TEXT('base-pms_spbrasil'!E385,"MMMM"))</f>
        <v>AGOSTO</v>
      </c>
    </row>
    <row r="386" spans="1:4" x14ac:dyDescent="0.25">
      <c r="A386" s="1">
        <v>41518</v>
      </c>
      <c r="B386">
        <f>YEAR('base-pms_spbrasil'!E386)</f>
        <v>2013</v>
      </c>
      <c r="C386">
        <f>MONTH('base-pms_spbrasil'!E386)</f>
        <v>9</v>
      </c>
      <c r="D386" s="3" t="str">
        <f>UPPER(TEXT('base-pms_spbrasil'!E386,"MMMM"))</f>
        <v>SETEMBRO</v>
      </c>
    </row>
    <row r="387" spans="1:4" x14ac:dyDescent="0.25">
      <c r="A387" s="1">
        <v>41548</v>
      </c>
      <c r="B387">
        <f>YEAR('base-pms_spbrasil'!E387)</f>
        <v>2013</v>
      </c>
      <c r="C387">
        <f>MONTH('base-pms_spbrasil'!E387)</f>
        <v>10</v>
      </c>
      <c r="D387" s="3" t="str">
        <f>UPPER(TEXT('base-pms_spbrasil'!E387,"MMMM"))</f>
        <v>OUTUBRO</v>
      </c>
    </row>
    <row r="388" spans="1:4" x14ac:dyDescent="0.25">
      <c r="A388" s="1">
        <v>41579</v>
      </c>
      <c r="B388">
        <f>YEAR('base-pms_spbrasil'!E388)</f>
        <v>2013</v>
      </c>
      <c r="C388">
        <f>MONTH('base-pms_spbrasil'!E388)</f>
        <v>11</v>
      </c>
      <c r="D388" s="3" t="str">
        <f>UPPER(TEXT('base-pms_spbrasil'!E388,"MMMM"))</f>
        <v>NOVEMBRO</v>
      </c>
    </row>
    <row r="389" spans="1:4" x14ac:dyDescent="0.25">
      <c r="A389" s="1">
        <v>41609</v>
      </c>
      <c r="B389">
        <f>YEAR('base-pms_spbrasil'!E389)</f>
        <v>2013</v>
      </c>
      <c r="C389">
        <f>MONTH('base-pms_spbrasil'!E389)</f>
        <v>12</v>
      </c>
      <c r="D389" s="3" t="str">
        <f>UPPER(TEXT('base-pms_spbrasil'!E389,"MMMM"))</f>
        <v>DEZEMBRO</v>
      </c>
    </row>
    <row r="390" spans="1:4" x14ac:dyDescent="0.25">
      <c r="A390" s="1">
        <v>41640</v>
      </c>
      <c r="B390">
        <f>YEAR('base-pms_spbrasil'!E390)</f>
        <v>2014</v>
      </c>
      <c r="C390">
        <f>MONTH('base-pms_spbrasil'!E390)</f>
        <v>1</v>
      </c>
      <c r="D390" s="3" t="str">
        <f>UPPER(TEXT('base-pms_spbrasil'!E390,"MMMM"))</f>
        <v>JANEIRO</v>
      </c>
    </row>
    <row r="391" spans="1:4" x14ac:dyDescent="0.25">
      <c r="A391" s="1">
        <v>41671</v>
      </c>
      <c r="B391">
        <f>YEAR('base-pms_spbrasil'!E391)</f>
        <v>2014</v>
      </c>
      <c r="C391">
        <f>MONTH('base-pms_spbrasil'!E391)</f>
        <v>2</v>
      </c>
      <c r="D391" s="3" t="str">
        <f>UPPER(TEXT('base-pms_spbrasil'!E391,"MMMM"))</f>
        <v>FEVEREIRO</v>
      </c>
    </row>
    <row r="392" spans="1:4" x14ac:dyDescent="0.25">
      <c r="A392" s="1">
        <v>41699</v>
      </c>
      <c r="B392">
        <f>YEAR('base-pms_spbrasil'!E392)</f>
        <v>2014</v>
      </c>
      <c r="C392">
        <f>MONTH('base-pms_spbrasil'!E392)</f>
        <v>3</v>
      </c>
      <c r="D392" s="3" t="str">
        <f>UPPER(TEXT('base-pms_spbrasil'!E392,"MMMM"))</f>
        <v>MARÇO</v>
      </c>
    </row>
    <row r="393" spans="1:4" x14ac:dyDescent="0.25">
      <c r="A393" s="1">
        <v>41730</v>
      </c>
      <c r="B393">
        <f>YEAR('base-pms_spbrasil'!E393)</f>
        <v>2014</v>
      </c>
      <c r="C393">
        <f>MONTH('base-pms_spbrasil'!E393)</f>
        <v>4</v>
      </c>
      <c r="D393" s="3" t="str">
        <f>UPPER(TEXT('base-pms_spbrasil'!E393,"MMMM"))</f>
        <v>ABRIL</v>
      </c>
    </row>
    <row r="394" spans="1:4" x14ac:dyDescent="0.25">
      <c r="A394" s="1">
        <v>41760</v>
      </c>
      <c r="B394">
        <f>YEAR('base-pms_spbrasil'!E394)</f>
        <v>2014</v>
      </c>
      <c r="C394">
        <f>MONTH('base-pms_spbrasil'!E394)</f>
        <v>5</v>
      </c>
      <c r="D394" s="3" t="str">
        <f>UPPER(TEXT('base-pms_spbrasil'!E394,"MMMM"))</f>
        <v>MAIO</v>
      </c>
    </row>
    <row r="395" spans="1:4" x14ac:dyDescent="0.25">
      <c r="A395" s="1">
        <v>41791</v>
      </c>
      <c r="B395">
        <f>YEAR('base-pms_spbrasil'!E395)</f>
        <v>2014</v>
      </c>
      <c r="C395">
        <f>MONTH('base-pms_spbrasil'!E395)</f>
        <v>6</v>
      </c>
      <c r="D395" s="3" t="str">
        <f>UPPER(TEXT('base-pms_spbrasil'!E395,"MMMM"))</f>
        <v>JUNHO</v>
      </c>
    </row>
    <row r="396" spans="1:4" x14ac:dyDescent="0.25">
      <c r="A396" s="1">
        <v>41821</v>
      </c>
      <c r="B396">
        <f>YEAR('base-pms_spbrasil'!E396)</f>
        <v>2014</v>
      </c>
      <c r="C396">
        <f>MONTH('base-pms_spbrasil'!E396)</f>
        <v>7</v>
      </c>
      <c r="D396" s="3" t="str">
        <f>UPPER(TEXT('base-pms_spbrasil'!E396,"MMMM"))</f>
        <v>JULHO</v>
      </c>
    </row>
    <row r="397" spans="1:4" x14ac:dyDescent="0.25">
      <c r="A397" s="1">
        <v>41852</v>
      </c>
      <c r="B397">
        <f>YEAR('base-pms_spbrasil'!E397)</f>
        <v>2014</v>
      </c>
      <c r="C397">
        <f>MONTH('base-pms_spbrasil'!E397)</f>
        <v>8</v>
      </c>
      <c r="D397" s="3" t="str">
        <f>UPPER(TEXT('base-pms_spbrasil'!E397,"MMMM"))</f>
        <v>AGOSTO</v>
      </c>
    </row>
    <row r="398" spans="1:4" x14ac:dyDescent="0.25">
      <c r="A398" s="1">
        <v>41883</v>
      </c>
      <c r="B398">
        <f>YEAR('base-pms_spbrasil'!E398)</f>
        <v>2014</v>
      </c>
      <c r="C398">
        <f>MONTH('base-pms_spbrasil'!E398)</f>
        <v>9</v>
      </c>
      <c r="D398" s="3" t="str">
        <f>UPPER(TEXT('base-pms_spbrasil'!E398,"MMMM"))</f>
        <v>SETEMBRO</v>
      </c>
    </row>
    <row r="399" spans="1:4" x14ac:dyDescent="0.25">
      <c r="A399" s="1">
        <v>41913</v>
      </c>
      <c r="B399">
        <f>YEAR('base-pms_spbrasil'!E399)</f>
        <v>2014</v>
      </c>
      <c r="C399">
        <f>MONTH('base-pms_spbrasil'!E399)</f>
        <v>10</v>
      </c>
      <c r="D399" s="3" t="str">
        <f>UPPER(TEXT('base-pms_spbrasil'!E399,"MMMM"))</f>
        <v>OUTUBRO</v>
      </c>
    </row>
    <row r="400" spans="1:4" x14ac:dyDescent="0.25">
      <c r="A400" s="1">
        <v>41944</v>
      </c>
      <c r="B400">
        <f>YEAR('base-pms_spbrasil'!E400)</f>
        <v>2014</v>
      </c>
      <c r="C400">
        <f>MONTH('base-pms_spbrasil'!E400)</f>
        <v>11</v>
      </c>
      <c r="D400" s="3" t="str">
        <f>UPPER(TEXT('base-pms_spbrasil'!E400,"MMMM"))</f>
        <v>NOVEMBRO</v>
      </c>
    </row>
    <row r="401" spans="1:4" x14ac:dyDescent="0.25">
      <c r="A401" s="1">
        <v>41974</v>
      </c>
      <c r="B401">
        <f>YEAR('base-pms_spbrasil'!E401)</f>
        <v>2014</v>
      </c>
      <c r="C401">
        <f>MONTH('base-pms_spbrasil'!E401)</f>
        <v>12</v>
      </c>
      <c r="D401" s="3" t="str">
        <f>UPPER(TEXT('base-pms_spbrasil'!E401,"MMMM"))</f>
        <v>DEZEMBRO</v>
      </c>
    </row>
    <row r="402" spans="1:4" x14ac:dyDescent="0.25">
      <c r="A402" s="1">
        <v>42005</v>
      </c>
      <c r="B402">
        <f>YEAR('base-pms_spbrasil'!E402)</f>
        <v>2015</v>
      </c>
      <c r="C402">
        <f>MONTH('base-pms_spbrasil'!E402)</f>
        <v>1</v>
      </c>
      <c r="D402" s="3" t="str">
        <f>UPPER(TEXT('base-pms_spbrasil'!E402,"MMMM"))</f>
        <v>JANEIRO</v>
      </c>
    </row>
    <row r="403" spans="1:4" x14ac:dyDescent="0.25">
      <c r="A403" s="1">
        <v>42036</v>
      </c>
      <c r="B403">
        <f>YEAR('base-pms_spbrasil'!E403)</f>
        <v>2015</v>
      </c>
      <c r="C403">
        <f>MONTH('base-pms_spbrasil'!E403)</f>
        <v>2</v>
      </c>
      <c r="D403" s="3" t="str">
        <f>UPPER(TEXT('base-pms_spbrasil'!E403,"MMMM"))</f>
        <v>FEVEREIRO</v>
      </c>
    </row>
    <row r="404" spans="1:4" x14ac:dyDescent="0.25">
      <c r="A404" s="1">
        <v>42064</v>
      </c>
      <c r="B404">
        <f>YEAR('base-pms_spbrasil'!E404)</f>
        <v>2015</v>
      </c>
      <c r="C404">
        <f>MONTH('base-pms_spbrasil'!E404)</f>
        <v>3</v>
      </c>
      <c r="D404" s="3" t="str">
        <f>UPPER(TEXT('base-pms_spbrasil'!E404,"MMMM"))</f>
        <v>MARÇO</v>
      </c>
    </row>
    <row r="405" spans="1:4" x14ac:dyDescent="0.25">
      <c r="A405" s="1">
        <v>42095</v>
      </c>
      <c r="B405">
        <f>YEAR('base-pms_spbrasil'!E405)</f>
        <v>2015</v>
      </c>
      <c r="C405">
        <f>MONTH('base-pms_spbrasil'!E405)</f>
        <v>4</v>
      </c>
      <c r="D405" s="3" t="str">
        <f>UPPER(TEXT('base-pms_spbrasil'!E405,"MMMM"))</f>
        <v>ABRIL</v>
      </c>
    </row>
    <row r="406" spans="1:4" x14ac:dyDescent="0.25">
      <c r="A406" s="1">
        <v>42125</v>
      </c>
      <c r="B406">
        <f>YEAR('base-pms_spbrasil'!E406)</f>
        <v>2015</v>
      </c>
      <c r="C406">
        <f>MONTH('base-pms_spbrasil'!E406)</f>
        <v>5</v>
      </c>
      <c r="D406" s="3" t="str">
        <f>UPPER(TEXT('base-pms_spbrasil'!E406,"MMMM"))</f>
        <v>MAIO</v>
      </c>
    </row>
    <row r="407" spans="1:4" x14ac:dyDescent="0.25">
      <c r="A407" s="1">
        <v>42156</v>
      </c>
      <c r="B407">
        <f>YEAR('base-pms_spbrasil'!E407)</f>
        <v>2015</v>
      </c>
      <c r="C407">
        <f>MONTH('base-pms_spbrasil'!E407)</f>
        <v>6</v>
      </c>
      <c r="D407" s="3" t="str">
        <f>UPPER(TEXT('base-pms_spbrasil'!E407,"MMMM"))</f>
        <v>JUNHO</v>
      </c>
    </row>
    <row r="408" spans="1:4" x14ac:dyDescent="0.25">
      <c r="A408" s="1">
        <v>42186</v>
      </c>
      <c r="B408">
        <f>YEAR('base-pms_spbrasil'!E408)</f>
        <v>2015</v>
      </c>
      <c r="C408">
        <f>MONTH('base-pms_spbrasil'!E408)</f>
        <v>7</v>
      </c>
      <c r="D408" s="3" t="str">
        <f>UPPER(TEXT('base-pms_spbrasil'!E408,"MMMM"))</f>
        <v>JULHO</v>
      </c>
    </row>
    <row r="409" spans="1:4" x14ac:dyDescent="0.25">
      <c r="A409" s="1">
        <v>42217</v>
      </c>
      <c r="B409">
        <f>YEAR('base-pms_spbrasil'!E409)</f>
        <v>2015</v>
      </c>
      <c r="C409">
        <f>MONTH('base-pms_spbrasil'!E409)</f>
        <v>8</v>
      </c>
      <c r="D409" s="3" t="str">
        <f>UPPER(TEXT('base-pms_spbrasil'!E409,"MMMM"))</f>
        <v>AGOSTO</v>
      </c>
    </row>
    <row r="410" spans="1:4" x14ac:dyDescent="0.25">
      <c r="A410" s="1">
        <v>42248</v>
      </c>
      <c r="B410">
        <f>YEAR('base-pms_spbrasil'!E410)</f>
        <v>2015</v>
      </c>
      <c r="C410">
        <f>MONTH('base-pms_spbrasil'!E410)</f>
        <v>9</v>
      </c>
      <c r="D410" s="3" t="str">
        <f>UPPER(TEXT('base-pms_spbrasil'!E410,"MMMM"))</f>
        <v>SETEMBRO</v>
      </c>
    </row>
    <row r="411" spans="1:4" x14ac:dyDescent="0.25">
      <c r="A411" s="1">
        <v>42278</v>
      </c>
      <c r="B411">
        <f>YEAR('base-pms_spbrasil'!E411)</f>
        <v>2015</v>
      </c>
      <c r="C411">
        <f>MONTH('base-pms_spbrasil'!E411)</f>
        <v>10</v>
      </c>
      <c r="D411" s="3" t="str">
        <f>UPPER(TEXT('base-pms_spbrasil'!E411,"MMMM"))</f>
        <v>OUTUBRO</v>
      </c>
    </row>
    <row r="412" spans="1:4" x14ac:dyDescent="0.25">
      <c r="A412" s="1">
        <v>42309</v>
      </c>
      <c r="B412">
        <f>YEAR('base-pms_spbrasil'!E412)</f>
        <v>2015</v>
      </c>
      <c r="C412">
        <f>MONTH('base-pms_spbrasil'!E412)</f>
        <v>11</v>
      </c>
      <c r="D412" s="3" t="str">
        <f>UPPER(TEXT('base-pms_spbrasil'!E412,"MMMM"))</f>
        <v>NOVEMBRO</v>
      </c>
    </row>
    <row r="413" spans="1:4" x14ac:dyDescent="0.25">
      <c r="A413" s="1">
        <v>42339</v>
      </c>
      <c r="B413">
        <f>YEAR('base-pms_spbrasil'!E413)</f>
        <v>2015</v>
      </c>
      <c r="C413">
        <f>MONTH('base-pms_spbrasil'!E413)</f>
        <v>12</v>
      </c>
      <c r="D413" s="3" t="str">
        <f>UPPER(TEXT('base-pms_spbrasil'!E413,"MMMM"))</f>
        <v>DEZEMBRO</v>
      </c>
    </row>
    <row r="414" spans="1:4" x14ac:dyDescent="0.25">
      <c r="A414" s="1">
        <v>42370</v>
      </c>
      <c r="B414">
        <f>YEAR('base-pms_spbrasil'!E414)</f>
        <v>2016</v>
      </c>
      <c r="C414">
        <f>MONTH('base-pms_spbrasil'!E414)</f>
        <v>1</v>
      </c>
      <c r="D414" s="3" t="str">
        <f>UPPER(TEXT('base-pms_spbrasil'!E414,"MMMM"))</f>
        <v>JANEIRO</v>
      </c>
    </row>
    <row r="415" spans="1:4" x14ac:dyDescent="0.25">
      <c r="A415" s="1">
        <v>42401</v>
      </c>
      <c r="B415">
        <f>YEAR('base-pms_spbrasil'!E415)</f>
        <v>2016</v>
      </c>
      <c r="C415">
        <f>MONTH('base-pms_spbrasil'!E415)</f>
        <v>2</v>
      </c>
      <c r="D415" s="3" t="str">
        <f>UPPER(TEXT('base-pms_spbrasil'!E415,"MMMM"))</f>
        <v>FEVEREIRO</v>
      </c>
    </row>
    <row r="416" spans="1:4" x14ac:dyDescent="0.25">
      <c r="A416" s="1">
        <v>42430</v>
      </c>
      <c r="B416">
        <f>YEAR('base-pms_spbrasil'!E416)</f>
        <v>2016</v>
      </c>
      <c r="C416">
        <f>MONTH('base-pms_spbrasil'!E416)</f>
        <v>3</v>
      </c>
      <c r="D416" s="3" t="str">
        <f>UPPER(TEXT('base-pms_spbrasil'!E416,"MMMM"))</f>
        <v>MARÇO</v>
      </c>
    </row>
    <row r="417" spans="1:4" x14ac:dyDescent="0.25">
      <c r="A417" s="1">
        <v>42461</v>
      </c>
      <c r="B417">
        <f>YEAR('base-pms_spbrasil'!E417)</f>
        <v>2016</v>
      </c>
      <c r="C417">
        <f>MONTH('base-pms_spbrasil'!E417)</f>
        <v>4</v>
      </c>
      <c r="D417" s="3" t="str">
        <f>UPPER(TEXT('base-pms_spbrasil'!E417,"MMMM"))</f>
        <v>ABRIL</v>
      </c>
    </row>
    <row r="418" spans="1:4" x14ac:dyDescent="0.25">
      <c r="A418" s="1">
        <v>42491</v>
      </c>
      <c r="B418">
        <f>YEAR('base-pms_spbrasil'!E418)</f>
        <v>2016</v>
      </c>
      <c r="C418">
        <f>MONTH('base-pms_spbrasil'!E418)</f>
        <v>5</v>
      </c>
      <c r="D418" s="3" t="str">
        <f>UPPER(TEXT('base-pms_spbrasil'!E418,"MMMM"))</f>
        <v>MAIO</v>
      </c>
    </row>
    <row r="419" spans="1:4" x14ac:dyDescent="0.25">
      <c r="A419" s="1">
        <v>42522</v>
      </c>
      <c r="B419">
        <f>YEAR('base-pms_spbrasil'!E419)</f>
        <v>2016</v>
      </c>
      <c r="C419">
        <f>MONTH('base-pms_spbrasil'!E419)</f>
        <v>6</v>
      </c>
      <c r="D419" s="3" t="str">
        <f>UPPER(TEXT('base-pms_spbrasil'!E419,"MMMM"))</f>
        <v>JUNHO</v>
      </c>
    </row>
    <row r="420" spans="1:4" x14ac:dyDescent="0.25">
      <c r="A420" s="1">
        <v>42552</v>
      </c>
      <c r="B420">
        <f>YEAR('base-pms_spbrasil'!E420)</f>
        <v>2016</v>
      </c>
      <c r="C420">
        <f>MONTH('base-pms_spbrasil'!E420)</f>
        <v>7</v>
      </c>
      <c r="D420" s="3" t="str">
        <f>UPPER(TEXT('base-pms_spbrasil'!E420,"MMMM"))</f>
        <v>JULHO</v>
      </c>
    </row>
    <row r="421" spans="1:4" x14ac:dyDescent="0.25">
      <c r="A421" s="1">
        <v>42583</v>
      </c>
      <c r="B421">
        <f>YEAR('base-pms_spbrasil'!E421)</f>
        <v>2016</v>
      </c>
      <c r="C421">
        <f>MONTH('base-pms_spbrasil'!E421)</f>
        <v>8</v>
      </c>
      <c r="D421" s="3" t="str">
        <f>UPPER(TEXT('base-pms_spbrasil'!E421,"MMMM"))</f>
        <v>AGOSTO</v>
      </c>
    </row>
    <row r="422" spans="1:4" x14ac:dyDescent="0.25">
      <c r="A422" s="1">
        <v>42614</v>
      </c>
      <c r="B422">
        <f>YEAR('base-pms_spbrasil'!E422)</f>
        <v>2016</v>
      </c>
      <c r="C422">
        <f>MONTH('base-pms_spbrasil'!E422)</f>
        <v>9</v>
      </c>
      <c r="D422" s="3" t="str">
        <f>UPPER(TEXT('base-pms_spbrasil'!E422,"MMMM"))</f>
        <v>SETEMBRO</v>
      </c>
    </row>
    <row r="423" spans="1:4" x14ac:dyDescent="0.25">
      <c r="A423" s="1">
        <v>42644</v>
      </c>
      <c r="B423">
        <f>YEAR('base-pms_spbrasil'!E423)</f>
        <v>2016</v>
      </c>
      <c r="C423">
        <f>MONTH('base-pms_spbrasil'!E423)</f>
        <v>10</v>
      </c>
      <c r="D423" s="3" t="str">
        <f>UPPER(TEXT('base-pms_spbrasil'!E423,"MMMM"))</f>
        <v>OUTUBRO</v>
      </c>
    </row>
    <row r="424" spans="1:4" x14ac:dyDescent="0.25">
      <c r="A424" s="1">
        <v>42675</v>
      </c>
      <c r="B424">
        <f>YEAR('base-pms_spbrasil'!E424)</f>
        <v>2016</v>
      </c>
      <c r="C424">
        <f>MONTH('base-pms_spbrasil'!E424)</f>
        <v>11</v>
      </c>
      <c r="D424" s="3" t="str">
        <f>UPPER(TEXT('base-pms_spbrasil'!E424,"MMMM"))</f>
        <v>NOVEMBRO</v>
      </c>
    </row>
    <row r="425" spans="1:4" x14ac:dyDescent="0.25">
      <c r="A425" s="1">
        <v>42705</v>
      </c>
      <c r="B425">
        <f>YEAR('base-pms_spbrasil'!E425)</f>
        <v>2016</v>
      </c>
      <c r="C425">
        <f>MONTH('base-pms_spbrasil'!E425)</f>
        <v>12</v>
      </c>
      <c r="D425" s="3" t="str">
        <f>UPPER(TEXT('base-pms_spbrasil'!E425,"MMMM"))</f>
        <v>DEZEMBRO</v>
      </c>
    </row>
    <row r="426" spans="1:4" x14ac:dyDescent="0.25">
      <c r="A426" s="1">
        <v>42736</v>
      </c>
      <c r="B426">
        <f>YEAR('base-pms_spbrasil'!E426)</f>
        <v>2017</v>
      </c>
      <c r="C426">
        <f>MONTH('base-pms_spbrasil'!E426)</f>
        <v>1</v>
      </c>
      <c r="D426" s="3" t="str">
        <f>UPPER(TEXT('base-pms_spbrasil'!E426,"MMMM"))</f>
        <v>JANEIRO</v>
      </c>
    </row>
    <row r="427" spans="1:4" x14ac:dyDescent="0.25">
      <c r="A427" s="1">
        <v>42767</v>
      </c>
      <c r="B427">
        <f>YEAR('base-pms_spbrasil'!E427)</f>
        <v>2017</v>
      </c>
      <c r="C427">
        <f>MONTH('base-pms_spbrasil'!E427)</f>
        <v>2</v>
      </c>
      <c r="D427" s="3" t="str">
        <f>UPPER(TEXT('base-pms_spbrasil'!E427,"MMMM"))</f>
        <v>FEVEREIRO</v>
      </c>
    </row>
    <row r="428" spans="1:4" x14ac:dyDescent="0.25">
      <c r="A428" s="1">
        <v>42795</v>
      </c>
      <c r="B428">
        <f>YEAR('base-pms_spbrasil'!E428)</f>
        <v>2017</v>
      </c>
      <c r="C428">
        <f>MONTH('base-pms_spbrasil'!E428)</f>
        <v>3</v>
      </c>
      <c r="D428" s="3" t="str">
        <f>UPPER(TEXT('base-pms_spbrasil'!E428,"MMMM"))</f>
        <v>MARÇO</v>
      </c>
    </row>
    <row r="429" spans="1:4" x14ac:dyDescent="0.25">
      <c r="A429" s="1">
        <v>42826</v>
      </c>
      <c r="B429">
        <f>YEAR('base-pms_spbrasil'!E429)</f>
        <v>2017</v>
      </c>
      <c r="C429">
        <f>MONTH('base-pms_spbrasil'!E429)</f>
        <v>4</v>
      </c>
      <c r="D429" s="3" t="str">
        <f>UPPER(TEXT('base-pms_spbrasil'!E429,"MMMM"))</f>
        <v>ABRIL</v>
      </c>
    </row>
    <row r="430" spans="1:4" x14ac:dyDescent="0.25">
      <c r="A430" s="1">
        <v>42856</v>
      </c>
      <c r="B430">
        <f>YEAR('base-pms_spbrasil'!E430)</f>
        <v>2017</v>
      </c>
      <c r="C430">
        <f>MONTH('base-pms_spbrasil'!E430)</f>
        <v>5</v>
      </c>
      <c r="D430" s="3" t="str">
        <f>UPPER(TEXT('base-pms_spbrasil'!E430,"MMMM"))</f>
        <v>MAIO</v>
      </c>
    </row>
    <row r="431" spans="1:4" x14ac:dyDescent="0.25">
      <c r="A431" s="1">
        <v>42887</v>
      </c>
      <c r="B431">
        <f>YEAR('base-pms_spbrasil'!E431)</f>
        <v>2017</v>
      </c>
      <c r="C431">
        <f>MONTH('base-pms_spbrasil'!E431)</f>
        <v>6</v>
      </c>
      <c r="D431" s="3" t="str">
        <f>UPPER(TEXT('base-pms_spbrasil'!E431,"MMMM"))</f>
        <v>JUNHO</v>
      </c>
    </row>
    <row r="432" spans="1:4" x14ac:dyDescent="0.25">
      <c r="A432" s="1">
        <v>42917</v>
      </c>
      <c r="B432">
        <f>YEAR('base-pms_spbrasil'!E432)</f>
        <v>2017</v>
      </c>
      <c r="C432">
        <f>MONTH('base-pms_spbrasil'!E432)</f>
        <v>7</v>
      </c>
      <c r="D432" s="3" t="str">
        <f>UPPER(TEXT('base-pms_spbrasil'!E432,"MMMM"))</f>
        <v>JULHO</v>
      </c>
    </row>
    <row r="433" spans="1:4" x14ac:dyDescent="0.25">
      <c r="A433" s="1">
        <v>42948</v>
      </c>
      <c r="B433">
        <f>YEAR('base-pms_spbrasil'!E433)</f>
        <v>2017</v>
      </c>
      <c r="C433">
        <f>MONTH('base-pms_spbrasil'!E433)</f>
        <v>8</v>
      </c>
      <c r="D433" s="3" t="str">
        <f>UPPER(TEXT('base-pms_spbrasil'!E433,"MMMM"))</f>
        <v>AGOSTO</v>
      </c>
    </row>
    <row r="434" spans="1:4" x14ac:dyDescent="0.25">
      <c r="A434" s="1">
        <v>42979</v>
      </c>
      <c r="B434">
        <f>YEAR('base-pms_spbrasil'!E434)</f>
        <v>2017</v>
      </c>
      <c r="C434">
        <f>MONTH('base-pms_spbrasil'!E434)</f>
        <v>9</v>
      </c>
      <c r="D434" s="3" t="str">
        <f>UPPER(TEXT('base-pms_spbrasil'!E434,"MMMM"))</f>
        <v>SETEMBRO</v>
      </c>
    </row>
    <row r="435" spans="1:4" x14ac:dyDescent="0.25">
      <c r="A435" s="1">
        <v>43009</v>
      </c>
      <c r="B435">
        <f>YEAR('base-pms_spbrasil'!E435)</f>
        <v>2017</v>
      </c>
      <c r="C435">
        <f>MONTH('base-pms_spbrasil'!E435)</f>
        <v>10</v>
      </c>
      <c r="D435" s="3" t="str">
        <f>UPPER(TEXT('base-pms_spbrasil'!E435,"MMMM"))</f>
        <v>OUTUBRO</v>
      </c>
    </row>
    <row r="436" spans="1:4" x14ac:dyDescent="0.25">
      <c r="A436" s="1">
        <v>43040</v>
      </c>
      <c r="B436">
        <f>YEAR('base-pms_spbrasil'!E436)</f>
        <v>2017</v>
      </c>
      <c r="C436">
        <f>MONTH('base-pms_spbrasil'!E436)</f>
        <v>11</v>
      </c>
      <c r="D436" s="3" t="str">
        <f>UPPER(TEXT('base-pms_spbrasil'!E436,"MMMM"))</f>
        <v>NOVEMBRO</v>
      </c>
    </row>
    <row r="437" spans="1:4" x14ac:dyDescent="0.25">
      <c r="A437" s="1">
        <v>43070</v>
      </c>
      <c r="B437">
        <f>YEAR('base-pms_spbrasil'!E437)</f>
        <v>2017</v>
      </c>
      <c r="C437">
        <f>MONTH('base-pms_spbrasil'!E437)</f>
        <v>12</v>
      </c>
      <c r="D437" s="3" t="str">
        <f>UPPER(TEXT('base-pms_spbrasil'!E437,"MMMM"))</f>
        <v>DEZEMBRO</v>
      </c>
    </row>
    <row r="438" spans="1:4" x14ac:dyDescent="0.25">
      <c r="A438" s="1">
        <v>43101</v>
      </c>
      <c r="B438">
        <f>YEAR('base-pms_spbrasil'!E438)</f>
        <v>2018</v>
      </c>
      <c r="C438">
        <f>MONTH('base-pms_spbrasil'!E438)</f>
        <v>1</v>
      </c>
      <c r="D438" s="3" t="str">
        <f>UPPER(TEXT('base-pms_spbrasil'!E438,"MMMM"))</f>
        <v>JANEIRO</v>
      </c>
    </row>
    <row r="439" spans="1:4" x14ac:dyDescent="0.25">
      <c r="A439" s="1">
        <v>43132</v>
      </c>
      <c r="B439">
        <f>YEAR('base-pms_spbrasil'!E439)</f>
        <v>2018</v>
      </c>
      <c r="C439">
        <f>MONTH('base-pms_spbrasil'!E439)</f>
        <v>2</v>
      </c>
      <c r="D439" s="3" t="str">
        <f>UPPER(TEXT('base-pms_spbrasil'!E439,"MMMM"))</f>
        <v>FEVEREIRO</v>
      </c>
    </row>
    <row r="440" spans="1:4" x14ac:dyDescent="0.25">
      <c r="A440" s="1">
        <v>43160</v>
      </c>
      <c r="B440">
        <f>YEAR('base-pms_spbrasil'!E440)</f>
        <v>2018</v>
      </c>
      <c r="C440">
        <f>MONTH('base-pms_spbrasil'!E440)</f>
        <v>3</v>
      </c>
      <c r="D440" s="3" t="str">
        <f>UPPER(TEXT('base-pms_spbrasil'!E440,"MMMM"))</f>
        <v>MARÇO</v>
      </c>
    </row>
    <row r="441" spans="1:4" x14ac:dyDescent="0.25">
      <c r="A441" s="1">
        <v>43191</v>
      </c>
      <c r="B441">
        <f>YEAR('base-pms_spbrasil'!E441)</f>
        <v>2018</v>
      </c>
      <c r="C441">
        <f>MONTH('base-pms_spbrasil'!E441)</f>
        <v>4</v>
      </c>
      <c r="D441" s="3" t="str">
        <f>UPPER(TEXT('base-pms_spbrasil'!E441,"MMMM"))</f>
        <v>ABRIL</v>
      </c>
    </row>
    <row r="442" spans="1:4" x14ac:dyDescent="0.25">
      <c r="A442" s="1">
        <v>43221</v>
      </c>
      <c r="B442">
        <f>YEAR('base-pms_spbrasil'!E442)</f>
        <v>2018</v>
      </c>
      <c r="C442">
        <f>MONTH('base-pms_spbrasil'!E442)</f>
        <v>5</v>
      </c>
      <c r="D442" s="3" t="str">
        <f>UPPER(TEXT('base-pms_spbrasil'!E442,"MMMM"))</f>
        <v>MAIO</v>
      </c>
    </row>
    <row r="443" spans="1:4" x14ac:dyDescent="0.25">
      <c r="A443" s="1">
        <v>43252</v>
      </c>
      <c r="B443">
        <f>YEAR('base-pms_spbrasil'!E443)</f>
        <v>2018</v>
      </c>
      <c r="C443">
        <f>MONTH('base-pms_spbrasil'!E443)</f>
        <v>6</v>
      </c>
      <c r="D443" s="3" t="str">
        <f>UPPER(TEXT('base-pms_spbrasil'!E443,"MMMM"))</f>
        <v>JUNHO</v>
      </c>
    </row>
    <row r="444" spans="1:4" x14ac:dyDescent="0.25">
      <c r="A444" s="1">
        <v>43282</v>
      </c>
      <c r="B444">
        <f>YEAR('base-pms_spbrasil'!E444)</f>
        <v>2018</v>
      </c>
      <c r="C444">
        <f>MONTH('base-pms_spbrasil'!E444)</f>
        <v>7</v>
      </c>
      <c r="D444" s="3" t="str">
        <f>UPPER(TEXT('base-pms_spbrasil'!E444,"MMMM"))</f>
        <v>JULHO</v>
      </c>
    </row>
    <row r="445" spans="1:4" x14ac:dyDescent="0.25">
      <c r="A445" s="1">
        <v>43313</v>
      </c>
      <c r="B445">
        <f>YEAR('base-pms_spbrasil'!E445)</f>
        <v>2018</v>
      </c>
      <c r="C445">
        <f>MONTH('base-pms_spbrasil'!E445)</f>
        <v>8</v>
      </c>
      <c r="D445" s="3" t="str">
        <f>UPPER(TEXT('base-pms_spbrasil'!E445,"MMMM"))</f>
        <v>AGOSTO</v>
      </c>
    </row>
    <row r="446" spans="1:4" x14ac:dyDescent="0.25">
      <c r="A446" s="1">
        <v>43344</v>
      </c>
      <c r="B446">
        <f>YEAR('base-pms_spbrasil'!E446)</f>
        <v>2018</v>
      </c>
      <c r="C446">
        <f>MONTH('base-pms_spbrasil'!E446)</f>
        <v>9</v>
      </c>
      <c r="D446" s="3" t="str">
        <f>UPPER(TEXT('base-pms_spbrasil'!E446,"MMMM"))</f>
        <v>SETEMBRO</v>
      </c>
    </row>
    <row r="447" spans="1:4" x14ac:dyDescent="0.25">
      <c r="A447" s="1">
        <v>43374</v>
      </c>
      <c r="B447">
        <f>YEAR('base-pms_spbrasil'!E447)</f>
        <v>2018</v>
      </c>
      <c r="C447">
        <f>MONTH('base-pms_spbrasil'!E447)</f>
        <v>10</v>
      </c>
      <c r="D447" s="3" t="str">
        <f>UPPER(TEXT('base-pms_spbrasil'!E447,"MMMM"))</f>
        <v>OUTUBRO</v>
      </c>
    </row>
    <row r="448" spans="1:4" x14ac:dyDescent="0.25">
      <c r="A448" s="1">
        <v>43405</v>
      </c>
      <c r="B448">
        <f>YEAR('base-pms_spbrasil'!E448)</f>
        <v>2018</v>
      </c>
      <c r="C448">
        <f>MONTH('base-pms_spbrasil'!E448)</f>
        <v>11</v>
      </c>
      <c r="D448" s="3" t="str">
        <f>UPPER(TEXT('base-pms_spbrasil'!E448,"MMMM"))</f>
        <v>NOVEMBRO</v>
      </c>
    </row>
    <row r="449" spans="1:4" x14ac:dyDescent="0.25">
      <c r="A449" s="1">
        <v>43435</v>
      </c>
      <c r="B449">
        <f>YEAR('base-pms_spbrasil'!E449)</f>
        <v>2018</v>
      </c>
      <c r="C449">
        <f>MONTH('base-pms_spbrasil'!E449)</f>
        <v>12</v>
      </c>
      <c r="D449" s="3" t="str">
        <f>UPPER(TEXT('base-pms_spbrasil'!E449,"MMMM"))</f>
        <v>DEZEMBRO</v>
      </c>
    </row>
    <row r="450" spans="1:4" x14ac:dyDescent="0.25">
      <c r="A450" s="1">
        <v>43466</v>
      </c>
      <c r="B450">
        <f>YEAR('base-pms_spbrasil'!E450)</f>
        <v>2019</v>
      </c>
      <c r="C450">
        <f>MONTH('base-pms_spbrasil'!E450)</f>
        <v>1</v>
      </c>
      <c r="D450" s="3" t="str">
        <f>UPPER(TEXT('base-pms_spbrasil'!E450,"MMMM"))</f>
        <v>JANEIRO</v>
      </c>
    </row>
    <row r="451" spans="1:4" x14ac:dyDescent="0.25">
      <c r="A451" s="1">
        <v>43497</v>
      </c>
      <c r="B451">
        <f>YEAR('base-pms_spbrasil'!E451)</f>
        <v>2019</v>
      </c>
      <c r="C451">
        <f>MONTH('base-pms_spbrasil'!E451)</f>
        <v>2</v>
      </c>
      <c r="D451" s="3" t="str">
        <f>UPPER(TEXT('base-pms_spbrasil'!E451,"MMMM"))</f>
        <v>FEVEREIRO</v>
      </c>
    </row>
    <row r="452" spans="1:4" x14ac:dyDescent="0.25">
      <c r="A452" s="1">
        <v>43525</v>
      </c>
      <c r="B452">
        <f>YEAR('base-pms_spbrasil'!E452)</f>
        <v>2019</v>
      </c>
      <c r="C452">
        <f>MONTH('base-pms_spbrasil'!E452)</f>
        <v>3</v>
      </c>
      <c r="D452" s="3" t="str">
        <f>UPPER(TEXT('base-pms_spbrasil'!E452,"MMMM"))</f>
        <v>MARÇO</v>
      </c>
    </row>
    <row r="453" spans="1:4" x14ac:dyDescent="0.25">
      <c r="A453" s="1">
        <v>43556</v>
      </c>
      <c r="B453">
        <f>YEAR('base-pms_spbrasil'!E453)</f>
        <v>2019</v>
      </c>
      <c r="C453">
        <f>MONTH('base-pms_spbrasil'!E453)</f>
        <v>4</v>
      </c>
      <c r="D453" s="3" t="str">
        <f>UPPER(TEXT('base-pms_spbrasil'!E453,"MMMM"))</f>
        <v>ABRIL</v>
      </c>
    </row>
    <row r="454" spans="1:4" x14ac:dyDescent="0.25">
      <c r="A454" s="1">
        <v>43586</v>
      </c>
      <c r="B454">
        <f>YEAR('base-pms_spbrasil'!E454)</f>
        <v>2019</v>
      </c>
      <c r="C454">
        <f>MONTH('base-pms_spbrasil'!E454)</f>
        <v>5</v>
      </c>
      <c r="D454" s="3" t="str">
        <f>UPPER(TEXT('base-pms_spbrasil'!E454,"MMMM"))</f>
        <v>MAIO</v>
      </c>
    </row>
    <row r="455" spans="1:4" x14ac:dyDescent="0.25">
      <c r="A455" s="1">
        <v>43617</v>
      </c>
      <c r="B455">
        <f>YEAR('base-pms_spbrasil'!E455)</f>
        <v>2019</v>
      </c>
      <c r="C455">
        <f>MONTH('base-pms_spbrasil'!E455)</f>
        <v>6</v>
      </c>
      <c r="D455" s="3" t="str">
        <f>UPPER(TEXT('base-pms_spbrasil'!E455,"MMMM"))</f>
        <v>JUNHO</v>
      </c>
    </row>
    <row r="456" spans="1:4" x14ac:dyDescent="0.25">
      <c r="A456" s="1">
        <v>43647</v>
      </c>
      <c r="B456">
        <f>YEAR('base-pms_spbrasil'!E456)</f>
        <v>2019</v>
      </c>
      <c r="C456">
        <f>MONTH('base-pms_spbrasil'!E456)</f>
        <v>7</v>
      </c>
      <c r="D456" s="3" t="str">
        <f>UPPER(TEXT('base-pms_spbrasil'!E456,"MMMM"))</f>
        <v>JULHO</v>
      </c>
    </row>
    <row r="457" spans="1:4" x14ac:dyDescent="0.25">
      <c r="A457" s="1">
        <v>43678</v>
      </c>
      <c r="B457">
        <f>YEAR('base-pms_spbrasil'!E457)</f>
        <v>2019</v>
      </c>
      <c r="C457">
        <f>MONTH('base-pms_spbrasil'!E457)</f>
        <v>8</v>
      </c>
      <c r="D457" s="3" t="str">
        <f>UPPER(TEXT('base-pms_spbrasil'!E457,"MMMM"))</f>
        <v>AGOSTO</v>
      </c>
    </row>
    <row r="458" spans="1:4" x14ac:dyDescent="0.25">
      <c r="A458" s="1">
        <v>43709</v>
      </c>
      <c r="B458">
        <f>YEAR('base-pms_spbrasil'!E458)</f>
        <v>2019</v>
      </c>
      <c r="C458">
        <f>MONTH('base-pms_spbrasil'!E458)</f>
        <v>9</v>
      </c>
      <c r="D458" s="3" t="str">
        <f>UPPER(TEXT('base-pms_spbrasil'!E458,"MMMM"))</f>
        <v>SETEMBRO</v>
      </c>
    </row>
    <row r="459" spans="1:4" x14ac:dyDescent="0.25">
      <c r="A459" s="1">
        <v>43739</v>
      </c>
      <c r="B459">
        <f>YEAR('base-pms_spbrasil'!E459)</f>
        <v>2019</v>
      </c>
      <c r="C459">
        <f>MONTH('base-pms_spbrasil'!E459)</f>
        <v>10</v>
      </c>
      <c r="D459" s="3" t="str">
        <f>UPPER(TEXT('base-pms_spbrasil'!E459,"MMMM"))</f>
        <v>OUTUBRO</v>
      </c>
    </row>
    <row r="460" spans="1:4" x14ac:dyDescent="0.25">
      <c r="A460" s="1">
        <v>43770</v>
      </c>
      <c r="B460">
        <f>YEAR('base-pms_spbrasil'!E460)</f>
        <v>2019</v>
      </c>
      <c r="C460">
        <f>MONTH('base-pms_spbrasil'!E460)</f>
        <v>11</v>
      </c>
      <c r="D460" s="3" t="str">
        <f>UPPER(TEXT('base-pms_spbrasil'!E460,"MMMM"))</f>
        <v>NOVEMBRO</v>
      </c>
    </row>
    <row r="461" spans="1:4" x14ac:dyDescent="0.25">
      <c r="A461" s="1">
        <v>43800</v>
      </c>
      <c r="B461">
        <f>YEAR('base-pms_spbrasil'!E461)</f>
        <v>2019</v>
      </c>
      <c r="C461">
        <f>MONTH('base-pms_spbrasil'!E461)</f>
        <v>12</v>
      </c>
      <c r="D461" s="3" t="str">
        <f>UPPER(TEXT('base-pms_spbrasil'!E461,"MMMM"))</f>
        <v>DEZEMBRO</v>
      </c>
    </row>
    <row r="462" spans="1:4" x14ac:dyDescent="0.25">
      <c r="A462" s="1">
        <v>43831</v>
      </c>
      <c r="B462">
        <f>YEAR('base-pms_spbrasil'!E462)</f>
        <v>2020</v>
      </c>
      <c r="C462">
        <f>MONTH('base-pms_spbrasil'!E462)</f>
        <v>1</v>
      </c>
      <c r="D462" s="3" t="str">
        <f>UPPER(TEXT('base-pms_spbrasil'!E462,"MMMM"))</f>
        <v>JANEIRO</v>
      </c>
    </row>
    <row r="463" spans="1:4" x14ac:dyDescent="0.25">
      <c r="A463" s="1">
        <v>43862</v>
      </c>
      <c r="B463">
        <f>YEAR('base-pms_spbrasil'!E463)</f>
        <v>2020</v>
      </c>
      <c r="C463">
        <f>MONTH('base-pms_spbrasil'!E463)</f>
        <v>2</v>
      </c>
      <c r="D463" s="3" t="str">
        <f>UPPER(TEXT('base-pms_spbrasil'!E463,"MMMM"))</f>
        <v>FEVEREIRO</v>
      </c>
    </row>
    <row r="464" spans="1:4" x14ac:dyDescent="0.25">
      <c r="A464" s="1">
        <v>43891</v>
      </c>
      <c r="B464">
        <f>YEAR('base-pms_spbrasil'!E464)</f>
        <v>2020</v>
      </c>
      <c r="C464">
        <f>MONTH('base-pms_spbrasil'!E464)</f>
        <v>3</v>
      </c>
      <c r="D464" s="3" t="str">
        <f>UPPER(TEXT('base-pms_spbrasil'!E464,"MMMM"))</f>
        <v>MARÇO</v>
      </c>
    </row>
    <row r="465" spans="1:4" x14ac:dyDescent="0.25">
      <c r="A465" s="1">
        <v>43922</v>
      </c>
      <c r="B465">
        <f>YEAR('base-pms_spbrasil'!E465)</f>
        <v>2020</v>
      </c>
      <c r="C465">
        <f>MONTH('base-pms_spbrasil'!E465)</f>
        <v>4</v>
      </c>
      <c r="D465" s="3" t="str">
        <f>UPPER(TEXT('base-pms_spbrasil'!E465,"MMMM"))</f>
        <v>ABRIL</v>
      </c>
    </row>
    <row r="466" spans="1:4" x14ac:dyDescent="0.25">
      <c r="A466" s="1">
        <v>43952</v>
      </c>
      <c r="B466">
        <f>YEAR('base-pms_spbrasil'!E466)</f>
        <v>2020</v>
      </c>
      <c r="C466">
        <f>MONTH('base-pms_spbrasil'!E466)</f>
        <v>5</v>
      </c>
      <c r="D466" s="3" t="str">
        <f>UPPER(TEXT('base-pms_spbrasil'!E466,"MMMM"))</f>
        <v>MAIO</v>
      </c>
    </row>
    <row r="467" spans="1:4" x14ac:dyDescent="0.25">
      <c r="A467" s="1">
        <v>43983</v>
      </c>
      <c r="B467">
        <f>YEAR('base-pms_spbrasil'!E467)</f>
        <v>2020</v>
      </c>
      <c r="C467">
        <f>MONTH('base-pms_spbrasil'!E467)</f>
        <v>6</v>
      </c>
      <c r="D467" s="3" t="str">
        <f>UPPER(TEXT('base-pms_spbrasil'!E467,"MMMM"))</f>
        <v>JUNHO</v>
      </c>
    </row>
    <row r="468" spans="1:4" x14ac:dyDescent="0.25">
      <c r="A468" s="1">
        <v>44013</v>
      </c>
      <c r="B468">
        <f>YEAR('base-pms_spbrasil'!E468)</f>
        <v>2020</v>
      </c>
      <c r="C468">
        <f>MONTH('base-pms_spbrasil'!E468)</f>
        <v>7</v>
      </c>
      <c r="D468" s="3" t="str">
        <f>UPPER(TEXT('base-pms_spbrasil'!E468,"MMMM"))</f>
        <v>JULHO</v>
      </c>
    </row>
    <row r="469" spans="1:4" x14ac:dyDescent="0.25">
      <c r="A469" s="1">
        <v>44044</v>
      </c>
      <c r="B469">
        <f>YEAR('base-pms_spbrasil'!E469)</f>
        <v>2020</v>
      </c>
      <c r="C469">
        <f>MONTH('base-pms_spbrasil'!E469)</f>
        <v>8</v>
      </c>
      <c r="D469" s="3" t="str">
        <f>UPPER(TEXT('base-pms_spbrasil'!E469,"MMMM"))</f>
        <v>AGOSTO</v>
      </c>
    </row>
    <row r="470" spans="1:4" x14ac:dyDescent="0.25">
      <c r="A470" s="1">
        <v>44075</v>
      </c>
      <c r="B470">
        <f>YEAR('base-pms_spbrasil'!E470)</f>
        <v>2020</v>
      </c>
      <c r="C470">
        <f>MONTH('base-pms_spbrasil'!E470)</f>
        <v>9</v>
      </c>
      <c r="D470" s="3" t="str">
        <f>UPPER(TEXT('base-pms_spbrasil'!E470,"MMMM"))</f>
        <v>SETEMBRO</v>
      </c>
    </row>
    <row r="471" spans="1:4" x14ac:dyDescent="0.25">
      <c r="A471" s="1">
        <v>44105</v>
      </c>
      <c r="B471">
        <f>YEAR('base-pms_spbrasil'!E471)</f>
        <v>2020</v>
      </c>
      <c r="C471">
        <f>MONTH('base-pms_spbrasil'!E471)</f>
        <v>10</v>
      </c>
      <c r="D471" s="3" t="str">
        <f>UPPER(TEXT('base-pms_spbrasil'!E471,"MMMM"))</f>
        <v>OUTUBRO</v>
      </c>
    </row>
    <row r="472" spans="1:4" x14ac:dyDescent="0.25">
      <c r="A472" s="1">
        <v>44136</v>
      </c>
      <c r="B472">
        <f>YEAR('base-pms_spbrasil'!E472)</f>
        <v>2020</v>
      </c>
      <c r="C472">
        <f>MONTH('base-pms_spbrasil'!E472)</f>
        <v>11</v>
      </c>
      <c r="D472" s="3" t="str">
        <f>UPPER(TEXT('base-pms_spbrasil'!E472,"MMMM"))</f>
        <v>NOVEMBRO</v>
      </c>
    </row>
    <row r="473" spans="1:4" x14ac:dyDescent="0.25">
      <c r="A473" s="1">
        <v>44166</v>
      </c>
      <c r="B473">
        <f>YEAR('base-pms_spbrasil'!E473)</f>
        <v>2020</v>
      </c>
      <c r="C473">
        <f>MONTH('base-pms_spbrasil'!E473)</f>
        <v>12</v>
      </c>
      <c r="D473" s="3" t="str">
        <f>UPPER(TEXT('base-pms_spbrasil'!E473,"MMMM"))</f>
        <v>DEZEMBRO</v>
      </c>
    </row>
    <row r="474" spans="1:4" x14ac:dyDescent="0.25">
      <c r="A474" s="1">
        <v>44197</v>
      </c>
      <c r="B474">
        <f>YEAR('base-pms_spbrasil'!E474)</f>
        <v>2021</v>
      </c>
      <c r="C474">
        <f>MONTH('base-pms_spbrasil'!E474)</f>
        <v>1</v>
      </c>
      <c r="D474" s="3" t="str">
        <f>UPPER(TEXT('base-pms_spbrasil'!E474,"MMMM"))</f>
        <v>JANEIRO</v>
      </c>
    </row>
    <row r="475" spans="1:4" x14ac:dyDescent="0.25">
      <c r="A475" s="1">
        <v>44228</v>
      </c>
      <c r="B475">
        <f>YEAR('base-pms_spbrasil'!E475)</f>
        <v>2021</v>
      </c>
      <c r="C475">
        <f>MONTH('base-pms_spbrasil'!E475)</f>
        <v>2</v>
      </c>
      <c r="D475" s="3" t="str">
        <f>UPPER(TEXT('base-pms_spbrasil'!E475,"MMMM"))</f>
        <v>FEVEREIRO</v>
      </c>
    </row>
    <row r="476" spans="1:4" x14ac:dyDescent="0.25">
      <c r="A476" s="1">
        <v>44256</v>
      </c>
      <c r="B476">
        <f>YEAR('base-pms_spbrasil'!E476)</f>
        <v>2021</v>
      </c>
      <c r="C476">
        <f>MONTH('base-pms_spbrasil'!E476)</f>
        <v>3</v>
      </c>
      <c r="D476" s="3" t="str">
        <f>UPPER(TEXT('base-pms_spbrasil'!E476,"MMMM"))</f>
        <v>MARÇO</v>
      </c>
    </row>
    <row r="477" spans="1:4" x14ac:dyDescent="0.25">
      <c r="A477" s="1">
        <v>44287</v>
      </c>
      <c r="B477">
        <f>YEAR('base-pms_spbrasil'!E477)</f>
        <v>2021</v>
      </c>
      <c r="C477">
        <f>MONTH('base-pms_spbrasil'!E477)</f>
        <v>4</v>
      </c>
      <c r="D477" s="3" t="str">
        <f>UPPER(TEXT('base-pms_spbrasil'!E477,"MMMM"))</f>
        <v>ABRIL</v>
      </c>
    </row>
    <row r="478" spans="1:4" x14ac:dyDescent="0.25">
      <c r="A478" s="1">
        <v>44317</v>
      </c>
      <c r="B478">
        <f>YEAR('base-pms_spbrasil'!E478)</f>
        <v>2021</v>
      </c>
      <c r="C478">
        <f>MONTH('base-pms_spbrasil'!E478)</f>
        <v>5</v>
      </c>
      <c r="D478" s="3" t="str">
        <f>UPPER(TEXT('base-pms_spbrasil'!E478,"MMMM"))</f>
        <v>MAIO</v>
      </c>
    </row>
    <row r="479" spans="1:4" x14ac:dyDescent="0.25">
      <c r="A479" s="1">
        <v>44348</v>
      </c>
      <c r="B479">
        <f>YEAR('base-pms_spbrasil'!E479)</f>
        <v>2021</v>
      </c>
      <c r="C479">
        <f>MONTH('base-pms_spbrasil'!E479)</f>
        <v>6</v>
      </c>
      <c r="D479" s="3" t="str">
        <f>UPPER(TEXT('base-pms_spbrasil'!E479,"MMMM"))</f>
        <v>JUNHO</v>
      </c>
    </row>
    <row r="480" spans="1:4" x14ac:dyDescent="0.25">
      <c r="A480" s="1">
        <v>44378</v>
      </c>
      <c r="B480">
        <f>YEAR('base-pms_spbrasil'!E480)</f>
        <v>2021</v>
      </c>
      <c r="C480">
        <f>MONTH('base-pms_spbrasil'!E480)</f>
        <v>7</v>
      </c>
      <c r="D480" s="3" t="str">
        <f>UPPER(TEXT('base-pms_spbrasil'!E480,"MMMM"))</f>
        <v>JULHO</v>
      </c>
    </row>
    <row r="481" spans="1:4" x14ac:dyDescent="0.25">
      <c r="A481" s="1">
        <v>44409</v>
      </c>
      <c r="B481">
        <f>YEAR('base-pms_spbrasil'!E481)</f>
        <v>2021</v>
      </c>
      <c r="C481">
        <f>MONTH('base-pms_spbrasil'!E481)</f>
        <v>8</v>
      </c>
      <c r="D481" s="3" t="str">
        <f>UPPER(TEXT('base-pms_spbrasil'!E481,"MMMM"))</f>
        <v>AGOSTO</v>
      </c>
    </row>
    <row r="482" spans="1:4" x14ac:dyDescent="0.25">
      <c r="A482" s="1">
        <v>44440</v>
      </c>
      <c r="B482">
        <f>YEAR('base-pms_spbrasil'!E482)</f>
        <v>2021</v>
      </c>
      <c r="C482">
        <f>MONTH('base-pms_spbrasil'!E482)</f>
        <v>9</v>
      </c>
      <c r="D482" s="3" t="str">
        <f>UPPER(TEXT('base-pms_spbrasil'!E482,"MMMM"))</f>
        <v>SETEMBRO</v>
      </c>
    </row>
    <row r="483" spans="1:4" x14ac:dyDescent="0.25">
      <c r="A483" s="1">
        <v>44470</v>
      </c>
      <c r="B483">
        <f>YEAR('base-pms_spbrasil'!E483)</f>
        <v>2021</v>
      </c>
      <c r="C483">
        <f>MONTH('base-pms_spbrasil'!E483)</f>
        <v>10</v>
      </c>
      <c r="D483" s="3" t="str">
        <f>UPPER(TEXT('base-pms_spbrasil'!E483,"MMMM"))</f>
        <v>OUTUBRO</v>
      </c>
    </row>
    <row r="484" spans="1:4" x14ac:dyDescent="0.25">
      <c r="A484" s="1">
        <v>44501</v>
      </c>
      <c r="B484">
        <f>YEAR('base-pms_spbrasil'!E484)</f>
        <v>2021</v>
      </c>
      <c r="C484">
        <f>MONTH('base-pms_spbrasil'!E484)</f>
        <v>11</v>
      </c>
      <c r="D484" s="3" t="str">
        <f>UPPER(TEXT('base-pms_spbrasil'!E484,"MMMM"))</f>
        <v>NOVEMBRO</v>
      </c>
    </row>
    <row r="485" spans="1:4" x14ac:dyDescent="0.25">
      <c r="A485" s="1">
        <v>44531</v>
      </c>
      <c r="B485">
        <f>YEAR('base-pms_spbrasil'!E485)</f>
        <v>2021</v>
      </c>
      <c r="C485">
        <f>MONTH('base-pms_spbrasil'!E485)</f>
        <v>12</v>
      </c>
      <c r="D485" s="3" t="str">
        <f>UPPER(TEXT('base-pms_spbrasil'!E485,"MMMM"))</f>
        <v>DEZEMBRO</v>
      </c>
    </row>
    <row r="486" spans="1:4" x14ac:dyDescent="0.25">
      <c r="A486" s="1">
        <v>44562</v>
      </c>
      <c r="B486">
        <f>YEAR('base-pms_spbrasil'!E486)</f>
        <v>2022</v>
      </c>
      <c r="C486">
        <f>MONTH('base-pms_spbrasil'!E486)</f>
        <v>1</v>
      </c>
      <c r="D486" s="3" t="str">
        <f>UPPER(TEXT('base-pms_spbrasil'!E486,"MMMM"))</f>
        <v>JANEIRO</v>
      </c>
    </row>
    <row r="487" spans="1:4" x14ac:dyDescent="0.25">
      <c r="A487" s="1">
        <v>44593</v>
      </c>
      <c r="B487">
        <f>YEAR('base-pms_spbrasil'!E487)</f>
        <v>2022</v>
      </c>
      <c r="C487">
        <f>MONTH('base-pms_spbrasil'!E487)</f>
        <v>2</v>
      </c>
      <c r="D487" s="3" t="str">
        <f>UPPER(TEXT('base-pms_spbrasil'!E487,"MMMM"))</f>
        <v>FEVEREIRO</v>
      </c>
    </row>
    <row r="488" spans="1:4" x14ac:dyDescent="0.25">
      <c r="A488" s="1">
        <v>44621</v>
      </c>
      <c r="B488">
        <f>YEAR('base-pms_spbrasil'!E488)</f>
        <v>2022</v>
      </c>
      <c r="C488">
        <f>MONTH('base-pms_spbrasil'!E488)</f>
        <v>3</v>
      </c>
      <c r="D488" s="3" t="str">
        <f>UPPER(TEXT('base-pms_spbrasil'!E488,"MMMM"))</f>
        <v>MARÇO</v>
      </c>
    </row>
    <row r="489" spans="1:4" x14ac:dyDescent="0.25">
      <c r="A489" s="1">
        <v>44652</v>
      </c>
      <c r="B489">
        <f>YEAR('base-pms_spbrasil'!E489)</f>
        <v>2022</v>
      </c>
      <c r="C489">
        <f>MONTH('base-pms_spbrasil'!E489)</f>
        <v>4</v>
      </c>
      <c r="D489" s="3" t="str">
        <f>UPPER(TEXT('base-pms_spbrasil'!E489,"MMMM"))</f>
        <v>ABRIL</v>
      </c>
    </row>
    <row r="490" spans="1:4" x14ac:dyDescent="0.25">
      <c r="A490" s="1">
        <v>44682</v>
      </c>
      <c r="B490">
        <f>YEAR('base-pms_spbrasil'!E490)</f>
        <v>2022</v>
      </c>
      <c r="C490">
        <f>MONTH('base-pms_spbrasil'!E490)</f>
        <v>5</v>
      </c>
      <c r="D490" s="3" t="str">
        <f>UPPER(TEXT('base-pms_spbrasil'!E490,"MMMM"))</f>
        <v>MAIO</v>
      </c>
    </row>
    <row r="491" spans="1:4" x14ac:dyDescent="0.25">
      <c r="A491" s="1">
        <v>44713</v>
      </c>
      <c r="B491">
        <f>YEAR('base-pms_spbrasil'!E491)</f>
        <v>2022</v>
      </c>
      <c r="C491">
        <f>MONTH('base-pms_spbrasil'!E491)</f>
        <v>6</v>
      </c>
      <c r="D491" s="3" t="str">
        <f>UPPER(TEXT('base-pms_spbrasil'!E491,"MMMM"))</f>
        <v>JUNHO</v>
      </c>
    </row>
    <row r="492" spans="1:4" x14ac:dyDescent="0.25">
      <c r="A492" s="1">
        <v>44743</v>
      </c>
      <c r="B492">
        <f>YEAR('base-pms_spbrasil'!E492)</f>
        <v>2022</v>
      </c>
      <c r="C492">
        <f>MONTH('base-pms_spbrasil'!E492)</f>
        <v>7</v>
      </c>
      <c r="D492" s="3" t="str">
        <f>UPPER(TEXT('base-pms_spbrasil'!E492,"MMMM"))</f>
        <v>JULHO</v>
      </c>
    </row>
    <row r="493" spans="1:4" x14ac:dyDescent="0.25">
      <c r="A493" s="1">
        <v>44774</v>
      </c>
      <c r="B493">
        <f>YEAR('base-pms_spbrasil'!E493)</f>
        <v>2022</v>
      </c>
      <c r="C493">
        <f>MONTH('base-pms_spbrasil'!E493)</f>
        <v>8</v>
      </c>
      <c r="D493" s="3" t="str">
        <f>UPPER(TEXT('base-pms_spbrasil'!E493,"MMMM"))</f>
        <v>AGOSTO</v>
      </c>
    </row>
    <row r="494" spans="1:4" x14ac:dyDescent="0.25">
      <c r="A494" s="1">
        <v>44805</v>
      </c>
      <c r="B494">
        <f>YEAR('base-pms_spbrasil'!E494)</f>
        <v>2022</v>
      </c>
      <c r="C494">
        <f>MONTH('base-pms_spbrasil'!E494)</f>
        <v>9</v>
      </c>
      <c r="D494" s="3" t="str">
        <f>UPPER(TEXT('base-pms_spbrasil'!E494,"MMMM"))</f>
        <v>SETEMBRO</v>
      </c>
    </row>
    <row r="495" spans="1:4" x14ac:dyDescent="0.25">
      <c r="A495" s="1">
        <v>44835</v>
      </c>
      <c r="B495">
        <f>YEAR('base-pms_spbrasil'!E495)</f>
        <v>2022</v>
      </c>
      <c r="C495">
        <f>MONTH('base-pms_spbrasil'!E495)</f>
        <v>10</v>
      </c>
      <c r="D495" s="3" t="str">
        <f>UPPER(TEXT('base-pms_spbrasil'!E495,"MMMM"))</f>
        <v>OUTUBRO</v>
      </c>
    </row>
    <row r="496" spans="1:4" x14ac:dyDescent="0.25">
      <c r="A496" s="1">
        <v>44866</v>
      </c>
      <c r="B496">
        <f>YEAR('base-pms_spbrasil'!E496)</f>
        <v>2022</v>
      </c>
      <c r="C496">
        <f>MONTH('base-pms_spbrasil'!E496)</f>
        <v>11</v>
      </c>
      <c r="D496" s="3" t="str">
        <f>UPPER(TEXT('base-pms_spbrasil'!E496,"MMMM"))</f>
        <v>NOVEMBRO</v>
      </c>
    </row>
    <row r="497" spans="1:4" x14ac:dyDescent="0.25">
      <c r="A497" s="1">
        <v>44896</v>
      </c>
      <c r="B497">
        <f>YEAR('base-pms_spbrasil'!E497)</f>
        <v>2022</v>
      </c>
      <c r="C497">
        <f>MONTH('base-pms_spbrasil'!E497)</f>
        <v>12</v>
      </c>
      <c r="D497" s="3" t="str">
        <f>UPPER(TEXT('base-pms_spbrasil'!E497,"MMMM"))</f>
        <v>DEZEMBRO</v>
      </c>
    </row>
    <row r="498" spans="1:4" x14ac:dyDescent="0.25">
      <c r="A498" s="1">
        <v>44927</v>
      </c>
      <c r="B498">
        <f>YEAR('base-pms_spbrasil'!E498)</f>
        <v>2023</v>
      </c>
      <c r="C498">
        <f>MONTH('base-pms_spbrasil'!E498)</f>
        <v>1</v>
      </c>
      <c r="D498" s="3" t="str">
        <f>UPPER(TEXT('base-pms_spbrasil'!E498,"MMMM"))</f>
        <v>JANEIRO</v>
      </c>
    </row>
    <row r="499" spans="1:4" x14ac:dyDescent="0.25">
      <c r="A499" s="1">
        <v>44958</v>
      </c>
      <c r="B499">
        <f>YEAR('base-pms_spbrasil'!E499)</f>
        <v>2023</v>
      </c>
      <c r="C499">
        <f>MONTH('base-pms_spbrasil'!E499)</f>
        <v>2</v>
      </c>
      <c r="D499" s="3" t="str">
        <f>UPPER(TEXT('base-pms_spbrasil'!E499,"MMMM"))</f>
        <v>FEVEREIRO</v>
      </c>
    </row>
    <row r="500" spans="1:4" x14ac:dyDescent="0.25">
      <c r="A500" s="1">
        <v>44986</v>
      </c>
      <c r="B500">
        <f>YEAR('base-pms_spbrasil'!E500)</f>
        <v>2023</v>
      </c>
      <c r="C500">
        <f>MONTH('base-pms_spbrasil'!E500)</f>
        <v>3</v>
      </c>
      <c r="D500" s="3" t="str">
        <f>UPPER(TEXT('base-pms_spbrasil'!E500,"MMMM"))</f>
        <v>MARÇO</v>
      </c>
    </row>
    <row r="501" spans="1:4" x14ac:dyDescent="0.25">
      <c r="A501" s="1">
        <v>45017</v>
      </c>
      <c r="B501">
        <f>YEAR('base-pms_spbrasil'!E501)</f>
        <v>2023</v>
      </c>
      <c r="C501">
        <f>MONTH('base-pms_spbrasil'!E501)</f>
        <v>4</v>
      </c>
      <c r="D501" s="3" t="str">
        <f>UPPER(TEXT('base-pms_spbrasil'!E501,"MMMM"))</f>
        <v>ABRIL</v>
      </c>
    </row>
    <row r="502" spans="1:4" x14ac:dyDescent="0.25">
      <c r="A502" s="1">
        <v>45047</v>
      </c>
      <c r="B502">
        <f>YEAR('base-pms_spbrasil'!E502)</f>
        <v>2023</v>
      </c>
      <c r="C502">
        <f>MONTH('base-pms_spbrasil'!E502)</f>
        <v>5</v>
      </c>
      <c r="D502" s="3" t="str">
        <f>UPPER(TEXT('base-pms_spbrasil'!E502,"MMMM"))</f>
        <v>MAIO</v>
      </c>
    </row>
    <row r="503" spans="1:4" x14ac:dyDescent="0.25">
      <c r="A503" s="1">
        <v>45078</v>
      </c>
      <c r="B503">
        <f>YEAR('base-pms_spbrasil'!E503)</f>
        <v>2023</v>
      </c>
      <c r="C503">
        <f>MONTH('base-pms_spbrasil'!E503)</f>
        <v>6</v>
      </c>
      <c r="D503" s="3" t="str">
        <f>UPPER(TEXT('base-pms_spbrasil'!E503,"MMMM"))</f>
        <v>JUNHO</v>
      </c>
    </row>
    <row r="504" spans="1:4" x14ac:dyDescent="0.25">
      <c r="A504" s="1">
        <v>45108</v>
      </c>
      <c r="B504">
        <f>YEAR('base-pms_spbrasil'!E504)</f>
        <v>2023</v>
      </c>
      <c r="C504">
        <f>MONTH('base-pms_spbrasil'!E504)</f>
        <v>7</v>
      </c>
      <c r="D504" s="3" t="str">
        <f>UPPER(TEXT('base-pms_spbrasil'!E504,"MMMM"))</f>
        <v>JULHO</v>
      </c>
    </row>
    <row r="505" spans="1:4" x14ac:dyDescent="0.25">
      <c r="A505" s="1">
        <v>45139</v>
      </c>
      <c r="B505">
        <f>YEAR('base-pms_spbrasil'!E505)</f>
        <v>2023</v>
      </c>
      <c r="C505">
        <f>MONTH('base-pms_spbrasil'!E505)</f>
        <v>8</v>
      </c>
      <c r="D505" s="3" t="str">
        <f>UPPER(TEXT('base-pms_spbrasil'!E505,"MMMM"))</f>
        <v>AGOSTO</v>
      </c>
    </row>
    <row r="506" spans="1:4" x14ac:dyDescent="0.25">
      <c r="A506" s="1">
        <v>45170</v>
      </c>
      <c r="B506">
        <f>YEAR('base-pms_spbrasil'!E506)</f>
        <v>2023</v>
      </c>
      <c r="C506">
        <f>MONTH('base-pms_spbrasil'!E506)</f>
        <v>9</v>
      </c>
      <c r="D506" s="3" t="str">
        <f>UPPER(TEXT('base-pms_spbrasil'!E506,"MMMM"))</f>
        <v>SETEMBRO</v>
      </c>
    </row>
    <row r="507" spans="1:4" x14ac:dyDescent="0.25">
      <c r="A507" s="1">
        <v>45200</v>
      </c>
      <c r="B507">
        <f>YEAR('base-pms_spbrasil'!E507)</f>
        <v>2023</v>
      </c>
      <c r="C507">
        <f>MONTH('base-pms_spbrasil'!E507)</f>
        <v>10</v>
      </c>
      <c r="D507" s="3" t="str">
        <f>UPPER(TEXT('base-pms_spbrasil'!E507,"MMMM"))</f>
        <v>OUTUBRO</v>
      </c>
    </row>
    <row r="508" spans="1:4" x14ac:dyDescent="0.25">
      <c r="A508" s="1">
        <v>45231</v>
      </c>
      <c r="B508">
        <f>YEAR('base-pms_spbrasil'!E508)</f>
        <v>2023</v>
      </c>
      <c r="C508">
        <f>MONTH('base-pms_spbrasil'!E508)</f>
        <v>11</v>
      </c>
      <c r="D508" s="3" t="str">
        <f>UPPER(TEXT('base-pms_spbrasil'!E508,"MMMM"))</f>
        <v>NOVEMBRO</v>
      </c>
    </row>
    <row r="509" spans="1:4" x14ac:dyDescent="0.25">
      <c r="A509" s="1">
        <v>45261</v>
      </c>
      <c r="B509">
        <f>YEAR('base-pms_spbrasil'!E509)</f>
        <v>2023</v>
      </c>
      <c r="C509">
        <f>MONTH('base-pms_spbrasil'!E509)</f>
        <v>12</v>
      </c>
      <c r="D509" s="3" t="str">
        <f>UPPER(TEXT('base-pms_spbrasil'!E509,"MMMM"))</f>
        <v>DEZEMBRO</v>
      </c>
    </row>
    <row r="510" spans="1:4" x14ac:dyDescent="0.25">
      <c r="A510" s="1">
        <v>45292</v>
      </c>
      <c r="B510">
        <f>YEAR('base-pms_spbrasil'!E510)</f>
        <v>2024</v>
      </c>
      <c r="C510">
        <f>MONTH('base-pms_spbrasil'!E510)</f>
        <v>1</v>
      </c>
      <c r="D510" s="3" t="str">
        <f>UPPER(TEXT('base-pms_spbrasil'!E510,"MMMM"))</f>
        <v>JANEIRO</v>
      </c>
    </row>
    <row r="511" spans="1:4" x14ac:dyDescent="0.25">
      <c r="A511" s="1">
        <v>45323</v>
      </c>
      <c r="B511">
        <f>YEAR('base-pms_spbrasil'!E511)</f>
        <v>2024</v>
      </c>
      <c r="C511">
        <f>MONTH('base-pms_spbrasil'!E511)</f>
        <v>2</v>
      </c>
      <c r="D511" s="3" t="str">
        <f>UPPER(TEXT('base-pms_spbrasil'!E511,"MMMM"))</f>
        <v>FEVEREIRO</v>
      </c>
    </row>
    <row r="512" spans="1:4" x14ac:dyDescent="0.25">
      <c r="A512" s="1">
        <v>45352</v>
      </c>
      <c r="B512">
        <f>YEAR('base-pms_spbrasil'!E512)</f>
        <v>2024</v>
      </c>
      <c r="C512">
        <f>MONTH('base-pms_spbrasil'!E512)</f>
        <v>3</v>
      </c>
      <c r="D512" s="3" t="str">
        <f>UPPER(TEXT('base-pms_spbrasil'!E512,"MMMM"))</f>
        <v>MARÇO</v>
      </c>
    </row>
    <row r="513" spans="1:4" x14ac:dyDescent="0.25">
      <c r="A513" s="1">
        <v>45383</v>
      </c>
      <c r="B513">
        <f>YEAR('base-pms_spbrasil'!E513)</f>
        <v>2024</v>
      </c>
      <c r="C513">
        <f>MONTH('base-pms_spbrasil'!E513)</f>
        <v>4</v>
      </c>
      <c r="D513" s="3" t="str">
        <f>UPPER(TEXT('base-pms_spbrasil'!E513,"MMMM"))</f>
        <v>ABRIL</v>
      </c>
    </row>
    <row r="514" spans="1:4" x14ac:dyDescent="0.25">
      <c r="A514" s="1">
        <v>45413</v>
      </c>
      <c r="B514">
        <f>YEAR('base-pms_spbrasil'!E514)</f>
        <v>2024</v>
      </c>
      <c r="C514">
        <f>MONTH('base-pms_spbrasil'!E514)</f>
        <v>5</v>
      </c>
      <c r="D514" s="3" t="str">
        <f>UPPER(TEXT('base-pms_spbrasil'!E514,"MMMM"))</f>
        <v>MAIO</v>
      </c>
    </row>
    <row r="515" spans="1:4" x14ac:dyDescent="0.25">
      <c r="A515" s="1">
        <v>45444</v>
      </c>
      <c r="B515">
        <f>YEAR('base-pms_spbrasil'!E515)</f>
        <v>2024</v>
      </c>
      <c r="C515">
        <f>MONTH('base-pms_spbrasil'!E515)</f>
        <v>6</v>
      </c>
      <c r="D515" s="3" t="str">
        <f>UPPER(TEXT('base-pms_spbrasil'!E515,"MMMM"))</f>
        <v>JUNHO</v>
      </c>
    </row>
    <row r="516" spans="1:4" x14ac:dyDescent="0.25">
      <c r="A516" s="1">
        <v>45474</v>
      </c>
      <c r="B516">
        <f>YEAR('base-pms_spbrasil'!E516)</f>
        <v>2024</v>
      </c>
      <c r="C516">
        <f>MONTH('base-pms_spbrasil'!E516)</f>
        <v>7</v>
      </c>
      <c r="D516" s="3" t="str">
        <f>UPPER(TEXT('base-pms_spbrasil'!E516,"MMMM"))</f>
        <v>JULHO</v>
      </c>
    </row>
    <row r="517" spans="1:4" x14ac:dyDescent="0.25">
      <c r="A517" s="1">
        <v>45505</v>
      </c>
      <c r="B517">
        <f>YEAR('base-pms_spbrasil'!E517)</f>
        <v>2024</v>
      </c>
      <c r="C517">
        <f>MONTH('base-pms_spbrasil'!E517)</f>
        <v>8</v>
      </c>
      <c r="D517" s="3" t="str">
        <f>UPPER(TEXT('base-pms_spbrasil'!E517,"MMMM"))</f>
        <v>AGOSTO</v>
      </c>
    </row>
    <row r="518" spans="1:4" x14ac:dyDescent="0.25">
      <c r="A518" s="1">
        <v>45536</v>
      </c>
      <c r="B518">
        <f>YEAR('base-pms_spbrasil'!E518)</f>
        <v>2024</v>
      </c>
      <c r="C518">
        <f>MONTH('base-pms_spbrasil'!E518)</f>
        <v>9</v>
      </c>
      <c r="D518" s="3" t="str">
        <f>UPPER(TEXT('base-pms_spbrasil'!E518,"MMMM"))</f>
        <v>SETEMBRO</v>
      </c>
    </row>
    <row r="519" spans="1:4" x14ac:dyDescent="0.25">
      <c r="A519" s="1">
        <v>45566</v>
      </c>
      <c r="B519">
        <f>YEAR('base-pms_spbrasil'!E519)</f>
        <v>2024</v>
      </c>
      <c r="C519">
        <f>MONTH('base-pms_spbrasil'!E519)</f>
        <v>10</v>
      </c>
      <c r="D519" s="3" t="str">
        <f>UPPER(TEXT('base-pms_spbrasil'!E519,"MMMM"))</f>
        <v>OUTUBRO</v>
      </c>
    </row>
    <row r="520" spans="1:4" x14ac:dyDescent="0.25">
      <c r="A520" s="1">
        <v>45597</v>
      </c>
      <c r="B520">
        <f>YEAR('base-pms_spbrasil'!E520)</f>
        <v>2024</v>
      </c>
      <c r="C520">
        <f>MONTH('base-pms_spbrasil'!E520)</f>
        <v>11</v>
      </c>
      <c r="D520" s="3" t="str">
        <f>UPPER(TEXT('base-pms_spbrasil'!E520,"MMMM"))</f>
        <v>NOVEMBRO</v>
      </c>
    </row>
    <row r="521" spans="1:4" x14ac:dyDescent="0.25">
      <c r="A521" s="1">
        <v>45627</v>
      </c>
      <c r="B521">
        <f>YEAR('base-pms_spbrasil'!E521)</f>
        <v>2024</v>
      </c>
      <c r="C521">
        <f>MONTH('base-pms_spbrasil'!E521)</f>
        <v>12</v>
      </c>
      <c r="D521" s="3" t="str">
        <f>UPPER(TEXT('base-pms_spbrasil'!E521,"MMMM"))</f>
        <v>DEZEMBRO</v>
      </c>
    </row>
    <row r="522" spans="1:4" x14ac:dyDescent="0.25">
      <c r="A522" s="1">
        <v>45658</v>
      </c>
      <c r="B522">
        <f>YEAR('base-pms_spbrasil'!E522)</f>
        <v>2025</v>
      </c>
      <c r="C522">
        <f>MONTH('base-pms_spbrasil'!E522)</f>
        <v>1</v>
      </c>
      <c r="D522" s="3" t="str">
        <f>UPPER(TEXT('base-pms_spbrasil'!E522,"MMMM"))</f>
        <v>JANEIRO</v>
      </c>
    </row>
    <row r="523" spans="1:4" x14ac:dyDescent="0.25">
      <c r="A523" s="1">
        <v>45689</v>
      </c>
      <c r="B523">
        <f>YEAR('base-pms_spbrasil'!E523)</f>
        <v>2025</v>
      </c>
      <c r="C523">
        <f>MONTH('base-pms_spbrasil'!E523)</f>
        <v>2</v>
      </c>
      <c r="D523" s="3" t="str">
        <f>UPPER(TEXT('base-pms_spbrasil'!E523,"MMMM"))</f>
        <v>FEVEREIRO</v>
      </c>
    </row>
    <row r="524" spans="1:4" x14ac:dyDescent="0.25">
      <c r="A524" s="1">
        <v>45717</v>
      </c>
      <c r="B524">
        <f>YEAR('base-pms_spbrasil'!E524)</f>
        <v>2025</v>
      </c>
      <c r="C524">
        <f>MONTH('base-pms_spbrasil'!E524)</f>
        <v>3</v>
      </c>
      <c r="D524" s="3" t="str">
        <f>UPPER(TEXT('base-pms_spbrasil'!E524,"MMMM"))</f>
        <v>MARÇO</v>
      </c>
    </row>
    <row r="525" spans="1:4" x14ac:dyDescent="0.25">
      <c r="A525" s="1">
        <v>45748</v>
      </c>
      <c r="B525">
        <f>YEAR('base-pms_spbrasil'!E525)</f>
        <v>2025</v>
      </c>
      <c r="C525">
        <f>MONTH('base-pms_spbrasil'!E525)</f>
        <v>4</v>
      </c>
      <c r="D525" s="3" t="str">
        <f>UPPER(TEXT('base-pms_spbrasil'!E525,"MMMM"))</f>
        <v>ABRIL</v>
      </c>
    </row>
    <row r="526" spans="1:4" x14ac:dyDescent="0.25">
      <c r="A526" s="1">
        <v>45778</v>
      </c>
      <c r="B526">
        <f>YEAR('base-pms_spbrasil'!E526)</f>
        <v>2025</v>
      </c>
      <c r="C526">
        <f>MONTH('base-pms_spbrasil'!E526)</f>
        <v>5</v>
      </c>
      <c r="D526" s="3" t="str">
        <f>UPPER(TEXT('base-pms_spbrasil'!E526,"MMMM"))</f>
        <v>MAIO</v>
      </c>
    </row>
    <row r="527" spans="1:4" x14ac:dyDescent="0.25">
      <c r="A527" s="1">
        <v>45809</v>
      </c>
      <c r="B527">
        <f>YEAR('base-pms_spbrasil'!E527)</f>
        <v>2025</v>
      </c>
      <c r="C527">
        <f>MONTH('base-pms_spbrasil'!E527)</f>
        <v>6</v>
      </c>
      <c r="D527" s="3" t="str">
        <f>UPPER(TEXT('base-pms_spbrasil'!E527,"MMMM"))</f>
        <v>JUNHO</v>
      </c>
    </row>
    <row r="528" spans="1:4" x14ac:dyDescent="0.25">
      <c r="A528" s="1">
        <v>45839</v>
      </c>
      <c r="B528">
        <f>YEAR('base-pms_spbrasil'!E528)</f>
        <v>2025</v>
      </c>
      <c r="C528">
        <f>MONTH('base-pms_spbrasil'!E528)</f>
        <v>7</v>
      </c>
      <c r="D528" s="3" t="str">
        <f>UPPER(TEXT('base-pms_spbrasil'!E528,"MMMM"))</f>
        <v>JULHO</v>
      </c>
    </row>
    <row r="529" spans="1:4" x14ac:dyDescent="0.25">
      <c r="A529" s="1">
        <v>45870</v>
      </c>
      <c r="B529">
        <f>YEAR('base-pms_spbrasil'!E529)</f>
        <v>2025</v>
      </c>
      <c r="C529">
        <f>MONTH('base-pms_spbrasil'!E529)</f>
        <v>8</v>
      </c>
      <c r="D529" s="3" t="str">
        <f>UPPER(TEXT('base-pms_spbrasil'!E529,"MMMM"))</f>
        <v>AGOSTO</v>
      </c>
    </row>
    <row r="530" spans="1:4" x14ac:dyDescent="0.25">
      <c r="A530" s="1">
        <v>40544</v>
      </c>
      <c r="B530">
        <f>YEAR('base-pms_spbrasil'!E530)</f>
        <v>2011</v>
      </c>
      <c r="C530">
        <f>MONTH('base-pms_spbrasil'!E530)</f>
        <v>1</v>
      </c>
      <c r="D530" s="3" t="str">
        <f>UPPER(TEXT('base-pms_spbrasil'!E530,"MMMM"))</f>
        <v>JANEIRO</v>
      </c>
    </row>
    <row r="531" spans="1:4" x14ac:dyDescent="0.25">
      <c r="A531" s="1">
        <v>40575</v>
      </c>
      <c r="B531">
        <f>YEAR('base-pms_spbrasil'!E531)</f>
        <v>2011</v>
      </c>
      <c r="C531">
        <f>MONTH('base-pms_spbrasil'!E531)</f>
        <v>2</v>
      </c>
      <c r="D531" s="3" t="str">
        <f>UPPER(TEXT('base-pms_spbrasil'!E531,"MMMM"))</f>
        <v>FEVEREIRO</v>
      </c>
    </row>
    <row r="532" spans="1:4" x14ac:dyDescent="0.25">
      <c r="A532" s="1">
        <v>40603</v>
      </c>
      <c r="B532">
        <f>YEAR('base-pms_spbrasil'!E532)</f>
        <v>2011</v>
      </c>
      <c r="C532">
        <f>MONTH('base-pms_spbrasil'!E532)</f>
        <v>3</v>
      </c>
      <c r="D532" s="3" t="str">
        <f>UPPER(TEXT('base-pms_spbrasil'!E532,"MMMM"))</f>
        <v>MARÇO</v>
      </c>
    </row>
    <row r="533" spans="1:4" x14ac:dyDescent="0.25">
      <c r="A533" s="1">
        <v>40634</v>
      </c>
      <c r="B533">
        <f>YEAR('base-pms_spbrasil'!E533)</f>
        <v>2011</v>
      </c>
      <c r="C533">
        <f>MONTH('base-pms_spbrasil'!E533)</f>
        <v>4</v>
      </c>
      <c r="D533" s="3" t="str">
        <f>UPPER(TEXT('base-pms_spbrasil'!E533,"MMMM"))</f>
        <v>ABRIL</v>
      </c>
    </row>
    <row r="534" spans="1:4" x14ac:dyDescent="0.25">
      <c r="A534" s="1">
        <v>40664</v>
      </c>
      <c r="B534">
        <f>YEAR('base-pms_spbrasil'!E534)</f>
        <v>2011</v>
      </c>
      <c r="C534">
        <f>MONTH('base-pms_spbrasil'!E534)</f>
        <v>5</v>
      </c>
      <c r="D534" s="3" t="str">
        <f>UPPER(TEXT('base-pms_spbrasil'!E534,"MMMM"))</f>
        <v>MAIO</v>
      </c>
    </row>
    <row r="535" spans="1:4" x14ac:dyDescent="0.25">
      <c r="A535" s="1">
        <v>40695</v>
      </c>
      <c r="B535">
        <f>YEAR('base-pms_spbrasil'!E535)</f>
        <v>2011</v>
      </c>
      <c r="C535">
        <f>MONTH('base-pms_spbrasil'!E535)</f>
        <v>6</v>
      </c>
      <c r="D535" s="3" t="str">
        <f>UPPER(TEXT('base-pms_spbrasil'!E535,"MMMM"))</f>
        <v>JUNHO</v>
      </c>
    </row>
    <row r="536" spans="1:4" x14ac:dyDescent="0.25">
      <c r="A536" s="1">
        <v>40725</v>
      </c>
      <c r="B536">
        <f>YEAR('base-pms_spbrasil'!E536)</f>
        <v>2011</v>
      </c>
      <c r="C536">
        <f>MONTH('base-pms_spbrasil'!E536)</f>
        <v>7</v>
      </c>
      <c r="D536" s="3" t="str">
        <f>UPPER(TEXT('base-pms_spbrasil'!E536,"MMMM"))</f>
        <v>JULHO</v>
      </c>
    </row>
    <row r="537" spans="1:4" x14ac:dyDescent="0.25">
      <c r="A537" s="1">
        <v>40756</v>
      </c>
      <c r="B537">
        <f>YEAR('base-pms_spbrasil'!E537)</f>
        <v>2011</v>
      </c>
      <c r="C537">
        <f>MONTH('base-pms_spbrasil'!E537)</f>
        <v>8</v>
      </c>
      <c r="D537" s="3" t="str">
        <f>UPPER(TEXT('base-pms_spbrasil'!E537,"MMMM"))</f>
        <v>AGOSTO</v>
      </c>
    </row>
    <row r="538" spans="1:4" x14ac:dyDescent="0.25">
      <c r="A538" s="1">
        <v>40787</v>
      </c>
      <c r="B538">
        <f>YEAR('base-pms_spbrasil'!E538)</f>
        <v>2011</v>
      </c>
      <c r="C538">
        <f>MONTH('base-pms_spbrasil'!E538)</f>
        <v>9</v>
      </c>
      <c r="D538" s="3" t="str">
        <f>UPPER(TEXT('base-pms_spbrasil'!E538,"MMMM"))</f>
        <v>SETEMBRO</v>
      </c>
    </row>
    <row r="539" spans="1:4" x14ac:dyDescent="0.25">
      <c r="A539" s="1">
        <v>40817</v>
      </c>
      <c r="B539">
        <f>YEAR('base-pms_spbrasil'!E539)</f>
        <v>2011</v>
      </c>
      <c r="C539">
        <f>MONTH('base-pms_spbrasil'!E539)</f>
        <v>10</v>
      </c>
      <c r="D539" s="3" t="str">
        <f>UPPER(TEXT('base-pms_spbrasil'!E539,"MMMM"))</f>
        <v>OUTUBRO</v>
      </c>
    </row>
    <row r="540" spans="1:4" x14ac:dyDescent="0.25">
      <c r="A540" s="1">
        <v>40848</v>
      </c>
      <c r="B540">
        <f>YEAR('base-pms_spbrasil'!E540)</f>
        <v>2011</v>
      </c>
      <c r="C540">
        <f>MONTH('base-pms_spbrasil'!E540)</f>
        <v>11</v>
      </c>
      <c r="D540" s="3" t="str">
        <f>UPPER(TEXT('base-pms_spbrasil'!E540,"MMMM"))</f>
        <v>NOVEMBRO</v>
      </c>
    </row>
    <row r="541" spans="1:4" x14ac:dyDescent="0.25">
      <c r="A541" s="1">
        <v>40878</v>
      </c>
      <c r="B541">
        <f>YEAR('base-pms_spbrasil'!E541)</f>
        <v>2011</v>
      </c>
      <c r="C541">
        <f>MONTH('base-pms_spbrasil'!E541)</f>
        <v>12</v>
      </c>
      <c r="D541" s="3" t="str">
        <f>UPPER(TEXT('base-pms_spbrasil'!E541,"MMMM"))</f>
        <v>DEZEMBRO</v>
      </c>
    </row>
    <row r="542" spans="1:4" x14ac:dyDescent="0.25">
      <c r="A542" s="1">
        <v>40909</v>
      </c>
      <c r="B542">
        <f>YEAR('base-pms_spbrasil'!E542)</f>
        <v>2012</v>
      </c>
      <c r="C542">
        <f>MONTH('base-pms_spbrasil'!E542)</f>
        <v>1</v>
      </c>
      <c r="D542" s="3" t="str">
        <f>UPPER(TEXT('base-pms_spbrasil'!E542,"MMMM"))</f>
        <v>JANEIRO</v>
      </c>
    </row>
    <row r="543" spans="1:4" x14ac:dyDescent="0.25">
      <c r="A543" s="1">
        <v>40940</v>
      </c>
      <c r="B543">
        <f>YEAR('base-pms_spbrasil'!E543)</f>
        <v>2012</v>
      </c>
      <c r="C543">
        <f>MONTH('base-pms_spbrasil'!E543)</f>
        <v>2</v>
      </c>
      <c r="D543" s="3" t="str">
        <f>UPPER(TEXT('base-pms_spbrasil'!E543,"MMMM"))</f>
        <v>FEVEREIRO</v>
      </c>
    </row>
    <row r="544" spans="1:4" x14ac:dyDescent="0.25">
      <c r="A544" s="1">
        <v>40969</v>
      </c>
      <c r="B544">
        <f>YEAR('base-pms_spbrasil'!E544)</f>
        <v>2012</v>
      </c>
      <c r="C544">
        <f>MONTH('base-pms_spbrasil'!E544)</f>
        <v>3</v>
      </c>
      <c r="D544" s="3" t="str">
        <f>UPPER(TEXT('base-pms_spbrasil'!E544,"MMMM"))</f>
        <v>MARÇO</v>
      </c>
    </row>
    <row r="545" spans="1:4" x14ac:dyDescent="0.25">
      <c r="A545" s="1">
        <v>41000</v>
      </c>
      <c r="B545">
        <f>YEAR('base-pms_spbrasil'!E545)</f>
        <v>2012</v>
      </c>
      <c r="C545">
        <f>MONTH('base-pms_spbrasil'!E545)</f>
        <v>4</v>
      </c>
      <c r="D545" s="3" t="str">
        <f>UPPER(TEXT('base-pms_spbrasil'!E545,"MMMM"))</f>
        <v>ABRIL</v>
      </c>
    </row>
    <row r="546" spans="1:4" x14ac:dyDescent="0.25">
      <c r="A546" s="1">
        <v>41030</v>
      </c>
      <c r="B546">
        <f>YEAR('base-pms_spbrasil'!E546)</f>
        <v>2012</v>
      </c>
      <c r="C546">
        <f>MONTH('base-pms_spbrasil'!E546)</f>
        <v>5</v>
      </c>
      <c r="D546" s="3" t="str">
        <f>UPPER(TEXT('base-pms_spbrasil'!E546,"MMMM"))</f>
        <v>MAIO</v>
      </c>
    </row>
    <row r="547" spans="1:4" x14ac:dyDescent="0.25">
      <c r="A547" s="1">
        <v>41061</v>
      </c>
      <c r="B547">
        <f>YEAR('base-pms_spbrasil'!E547)</f>
        <v>2012</v>
      </c>
      <c r="C547">
        <f>MONTH('base-pms_spbrasil'!E547)</f>
        <v>6</v>
      </c>
      <c r="D547" s="3" t="str">
        <f>UPPER(TEXT('base-pms_spbrasil'!E547,"MMMM"))</f>
        <v>JUNHO</v>
      </c>
    </row>
    <row r="548" spans="1:4" x14ac:dyDescent="0.25">
      <c r="A548" s="1">
        <v>41091</v>
      </c>
      <c r="B548">
        <f>YEAR('base-pms_spbrasil'!E548)</f>
        <v>2012</v>
      </c>
      <c r="C548">
        <f>MONTH('base-pms_spbrasil'!E548)</f>
        <v>7</v>
      </c>
      <c r="D548" s="3" t="str">
        <f>UPPER(TEXT('base-pms_spbrasil'!E548,"MMMM"))</f>
        <v>JULHO</v>
      </c>
    </row>
    <row r="549" spans="1:4" x14ac:dyDescent="0.25">
      <c r="A549" s="1">
        <v>41122</v>
      </c>
      <c r="B549">
        <f>YEAR('base-pms_spbrasil'!E549)</f>
        <v>2012</v>
      </c>
      <c r="C549">
        <f>MONTH('base-pms_spbrasil'!E549)</f>
        <v>8</v>
      </c>
      <c r="D549" s="3" t="str">
        <f>UPPER(TEXT('base-pms_spbrasil'!E549,"MMMM"))</f>
        <v>AGOSTO</v>
      </c>
    </row>
    <row r="550" spans="1:4" x14ac:dyDescent="0.25">
      <c r="A550" s="1">
        <v>41153</v>
      </c>
      <c r="B550">
        <f>YEAR('base-pms_spbrasil'!E550)</f>
        <v>2012</v>
      </c>
      <c r="C550">
        <f>MONTH('base-pms_spbrasil'!E550)</f>
        <v>9</v>
      </c>
      <c r="D550" s="3" t="str">
        <f>UPPER(TEXT('base-pms_spbrasil'!E550,"MMMM"))</f>
        <v>SETEMBRO</v>
      </c>
    </row>
    <row r="551" spans="1:4" x14ac:dyDescent="0.25">
      <c r="A551" s="1">
        <v>41183</v>
      </c>
      <c r="B551">
        <f>YEAR('base-pms_spbrasil'!E551)</f>
        <v>2012</v>
      </c>
      <c r="C551">
        <f>MONTH('base-pms_spbrasil'!E551)</f>
        <v>10</v>
      </c>
      <c r="D551" s="3" t="str">
        <f>UPPER(TEXT('base-pms_spbrasil'!E551,"MMMM"))</f>
        <v>OUTUBRO</v>
      </c>
    </row>
    <row r="552" spans="1:4" x14ac:dyDescent="0.25">
      <c r="A552" s="1">
        <v>41214</v>
      </c>
      <c r="B552">
        <f>YEAR('base-pms_spbrasil'!E552)</f>
        <v>2012</v>
      </c>
      <c r="C552">
        <f>MONTH('base-pms_spbrasil'!E552)</f>
        <v>11</v>
      </c>
      <c r="D552" s="3" t="str">
        <f>UPPER(TEXT('base-pms_spbrasil'!E552,"MMMM"))</f>
        <v>NOVEMBRO</v>
      </c>
    </row>
    <row r="553" spans="1:4" x14ac:dyDescent="0.25">
      <c r="A553" s="1">
        <v>41244</v>
      </c>
      <c r="B553">
        <f>YEAR('base-pms_spbrasil'!E553)</f>
        <v>2012</v>
      </c>
      <c r="C553">
        <f>MONTH('base-pms_spbrasil'!E553)</f>
        <v>12</v>
      </c>
      <c r="D553" s="3" t="str">
        <f>UPPER(TEXT('base-pms_spbrasil'!E553,"MMMM"))</f>
        <v>DEZEMBRO</v>
      </c>
    </row>
    <row r="554" spans="1:4" x14ac:dyDescent="0.25">
      <c r="A554" s="1">
        <v>41275</v>
      </c>
      <c r="B554">
        <f>YEAR('base-pms_spbrasil'!E554)</f>
        <v>2013</v>
      </c>
      <c r="C554">
        <f>MONTH('base-pms_spbrasil'!E554)</f>
        <v>1</v>
      </c>
      <c r="D554" s="3" t="str">
        <f>UPPER(TEXT('base-pms_spbrasil'!E554,"MMMM"))</f>
        <v>JANEIRO</v>
      </c>
    </row>
    <row r="555" spans="1:4" x14ac:dyDescent="0.25">
      <c r="A555" s="1">
        <v>41306</v>
      </c>
      <c r="B555">
        <f>YEAR('base-pms_spbrasil'!E555)</f>
        <v>2013</v>
      </c>
      <c r="C555">
        <f>MONTH('base-pms_spbrasil'!E555)</f>
        <v>2</v>
      </c>
      <c r="D555" s="3" t="str">
        <f>UPPER(TEXT('base-pms_spbrasil'!E555,"MMMM"))</f>
        <v>FEVEREIRO</v>
      </c>
    </row>
    <row r="556" spans="1:4" x14ac:dyDescent="0.25">
      <c r="A556" s="1">
        <v>41334</v>
      </c>
      <c r="B556">
        <f>YEAR('base-pms_spbrasil'!E556)</f>
        <v>2013</v>
      </c>
      <c r="C556">
        <f>MONTH('base-pms_spbrasil'!E556)</f>
        <v>3</v>
      </c>
      <c r="D556" s="3" t="str">
        <f>UPPER(TEXT('base-pms_spbrasil'!E556,"MMMM"))</f>
        <v>MARÇO</v>
      </c>
    </row>
    <row r="557" spans="1:4" x14ac:dyDescent="0.25">
      <c r="A557" s="1">
        <v>41365</v>
      </c>
      <c r="B557">
        <f>YEAR('base-pms_spbrasil'!E557)</f>
        <v>2013</v>
      </c>
      <c r="C557">
        <f>MONTH('base-pms_spbrasil'!E557)</f>
        <v>4</v>
      </c>
      <c r="D557" s="3" t="str">
        <f>UPPER(TEXT('base-pms_spbrasil'!E557,"MMMM"))</f>
        <v>ABRIL</v>
      </c>
    </row>
    <row r="558" spans="1:4" x14ac:dyDescent="0.25">
      <c r="A558" s="1">
        <v>41395</v>
      </c>
      <c r="B558">
        <f>YEAR('base-pms_spbrasil'!E558)</f>
        <v>2013</v>
      </c>
      <c r="C558">
        <f>MONTH('base-pms_spbrasil'!E558)</f>
        <v>5</v>
      </c>
      <c r="D558" s="3" t="str">
        <f>UPPER(TEXT('base-pms_spbrasil'!E558,"MMMM"))</f>
        <v>MAIO</v>
      </c>
    </row>
    <row r="559" spans="1:4" x14ac:dyDescent="0.25">
      <c r="A559" s="1">
        <v>41426</v>
      </c>
      <c r="B559">
        <f>YEAR('base-pms_spbrasil'!E559)</f>
        <v>2013</v>
      </c>
      <c r="C559">
        <f>MONTH('base-pms_spbrasil'!E559)</f>
        <v>6</v>
      </c>
      <c r="D559" s="3" t="str">
        <f>UPPER(TEXT('base-pms_spbrasil'!E559,"MMMM"))</f>
        <v>JUNHO</v>
      </c>
    </row>
    <row r="560" spans="1:4" x14ac:dyDescent="0.25">
      <c r="A560" s="1">
        <v>41456</v>
      </c>
      <c r="B560">
        <f>YEAR('base-pms_spbrasil'!E560)</f>
        <v>2013</v>
      </c>
      <c r="C560">
        <f>MONTH('base-pms_spbrasil'!E560)</f>
        <v>7</v>
      </c>
      <c r="D560" s="3" t="str">
        <f>UPPER(TEXT('base-pms_spbrasil'!E560,"MMMM"))</f>
        <v>JULHO</v>
      </c>
    </row>
    <row r="561" spans="1:4" x14ac:dyDescent="0.25">
      <c r="A561" s="1">
        <v>41487</v>
      </c>
      <c r="B561">
        <f>YEAR('base-pms_spbrasil'!E561)</f>
        <v>2013</v>
      </c>
      <c r="C561">
        <f>MONTH('base-pms_spbrasil'!E561)</f>
        <v>8</v>
      </c>
      <c r="D561" s="3" t="str">
        <f>UPPER(TEXT('base-pms_spbrasil'!E561,"MMMM"))</f>
        <v>AGOSTO</v>
      </c>
    </row>
    <row r="562" spans="1:4" x14ac:dyDescent="0.25">
      <c r="A562" s="1">
        <v>41518</v>
      </c>
      <c r="B562">
        <f>YEAR('base-pms_spbrasil'!E562)</f>
        <v>2013</v>
      </c>
      <c r="C562">
        <f>MONTH('base-pms_spbrasil'!E562)</f>
        <v>9</v>
      </c>
      <c r="D562" s="3" t="str">
        <f>UPPER(TEXT('base-pms_spbrasil'!E562,"MMMM"))</f>
        <v>SETEMBRO</v>
      </c>
    </row>
    <row r="563" spans="1:4" x14ac:dyDescent="0.25">
      <c r="A563" s="1">
        <v>41548</v>
      </c>
      <c r="B563">
        <f>YEAR('base-pms_spbrasil'!E563)</f>
        <v>2013</v>
      </c>
      <c r="C563">
        <f>MONTH('base-pms_spbrasil'!E563)</f>
        <v>10</v>
      </c>
      <c r="D563" s="3" t="str">
        <f>UPPER(TEXT('base-pms_spbrasil'!E563,"MMMM"))</f>
        <v>OUTUBRO</v>
      </c>
    </row>
    <row r="564" spans="1:4" x14ac:dyDescent="0.25">
      <c r="A564" s="1">
        <v>41579</v>
      </c>
      <c r="B564">
        <f>YEAR('base-pms_spbrasil'!E564)</f>
        <v>2013</v>
      </c>
      <c r="C564">
        <f>MONTH('base-pms_spbrasil'!E564)</f>
        <v>11</v>
      </c>
      <c r="D564" s="3" t="str">
        <f>UPPER(TEXT('base-pms_spbrasil'!E564,"MMMM"))</f>
        <v>NOVEMBRO</v>
      </c>
    </row>
    <row r="565" spans="1:4" x14ac:dyDescent="0.25">
      <c r="A565" s="1">
        <v>41609</v>
      </c>
      <c r="B565">
        <f>YEAR('base-pms_spbrasil'!E565)</f>
        <v>2013</v>
      </c>
      <c r="C565">
        <f>MONTH('base-pms_spbrasil'!E565)</f>
        <v>12</v>
      </c>
      <c r="D565" s="3" t="str">
        <f>UPPER(TEXT('base-pms_spbrasil'!E565,"MMMM"))</f>
        <v>DEZEMBRO</v>
      </c>
    </row>
    <row r="566" spans="1:4" x14ac:dyDescent="0.25">
      <c r="A566" s="1">
        <v>41640</v>
      </c>
      <c r="B566">
        <f>YEAR('base-pms_spbrasil'!E566)</f>
        <v>2014</v>
      </c>
      <c r="C566">
        <f>MONTH('base-pms_spbrasil'!E566)</f>
        <v>1</v>
      </c>
      <c r="D566" s="3" t="str">
        <f>UPPER(TEXT('base-pms_spbrasil'!E566,"MMMM"))</f>
        <v>JANEIRO</v>
      </c>
    </row>
    <row r="567" spans="1:4" x14ac:dyDescent="0.25">
      <c r="A567" s="1">
        <v>41671</v>
      </c>
      <c r="B567">
        <f>YEAR('base-pms_spbrasil'!E567)</f>
        <v>2014</v>
      </c>
      <c r="C567">
        <f>MONTH('base-pms_spbrasil'!E567)</f>
        <v>2</v>
      </c>
      <c r="D567" s="3" t="str">
        <f>UPPER(TEXT('base-pms_spbrasil'!E567,"MMMM"))</f>
        <v>FEVEREIRO</v>
      </c>
    </row>
    <row r="568" spans="1:4" x14ac:dyDescent="0.25">
      <c r="A568" s="1">
        <v>41699</v>
      </c>
      <c r="B568">
        <f>YEAR('base-pms_spbrasil'!E568)</f>
        <v>2014</v>
      </c>
      <c r="C568">
        <f>MONTH('base-pms_spbrasil'!E568)</f>
        <v>3</v>
      </c>
      <c r="D568" s="3" t="str">
        <f>UPPER(TEXT('base-pms_spbrasil'!E568,"MMMM"))</f>
        <v>MARÇO</v>
      </c>
    </row>
    <row r="569" spans="1:4" x14ac:dyDescent="0.25">
      <c r="A569" s="1">
        <v>41730</v>
      </c>
      <c r="B569">
        <f>YEAR('base-pms_spbrasil'!E569)</f>
        <v>2014</v>
      </c>
      <c r="C569">
        <f>MONTH('base-pms_spbrasil'!E569)</f>
        <v>4</v>
      </c>
      <c r="D569" s="3" t="str">
        <f>UPPER(TEXT('base-pms_spbrasil'!E569,"MMMM"))</f>
        <v>ABRIL</v>
      </c>
    </row>
    <row r="570" spans="1:4" x14ac:dyDescent="0.25">
      <c r="A570" s="1">
        <v>41760</v>
      </c>
      <c r="B570">
        <f>YEAR('base-pms_spbrasil'!E570)</f>
        <v>2014</v>
      </c>
      <c r="C570">
        <f>MONTH('base-pms_spbrasil'!E570)</f>
        <v>5</v>
      </c>
      <c r="D570" s="3" t="str">
        <f>UPPER(TEXT('base-pms_spbrasil'!E570,"MMMM"))</f>
        <v>MAIO</v>
      </c>
    </row>
    <row r="571" spans="1:4" x14ac:dyDescent="0.25">
      <c r="A571" s="1">
        <v>41791</v>
      </c>
      <c r="B571">
        <f>YEAR('base-pms_spbrasil'!E571)</f>
        <v>2014</v>
      </c>
      <c r="C571">
        <f>MONTH('base-pms_spbrasil'!E571)</f>
        <v>6</v>
      </c>
      <c r="D571" s="3" t="str">
        <f>UPPER(TEXT('base-pms_spbrasil'!E571,"MMMM"))</f>
        <v>JUNHO</v>
      </c>
    </row>
    <row r="572" spans="1:4" x14ac:dyDescent="0.25">
      <c r="A572" s="1">
        <v>41821</v>
      </c>
      <c r="B572">
        <f>YEAR('base-pms_spbrasil'!E572)</f>
        <v>2014</v>
      </c>
      <c r="C572">
        <f>MONTH('base-pms_spbrasil'!E572)</f>
        <v>7</v>
      </c>
      <c r="D572" s="3" t="str">
        <f>UPPER(TEXT('base-pms_spbrasil'!E572,"MMMM"))</f>
        <v>JULHO</v>
      </c>
    </row>
    <row r="573" spans="1:4" x14ac:dyDescent="0.25">
      <c r="A573" s="1">
        <v>41852</v>
      </c>
      <c r="B573">
        <f>YEAR('base-pms_spbrasil'!E573)</f>
        <v>2014</v>
      </c>
      <c r="C573">
        <f>MONTH('base-pms_spbrasil'!E573)</f>
        <v>8</v>
      </c>
      <c r="D573" s="3" t="str">
        <f>UPPER(TEXT('base-pms_spbrasil'!E573,"MMMM"))</f>
        <v>AGOSTO</v>
      </c>
    </row>
    <row r="574" spans="1:4" x14ac:dyDescent="0.25">
      <c r="A574" s="1">
        <v>41883</v>
      </c>
      <c r="B574">
        <f>YEAR('base-pms_spbrasil'!E574)</f>
        <v>2014</v>
      </c>
      <c r="C574">
        <f>MONTH('base-pms_spbrasil'!E574)</f>
        <v>9</v>
      </c>
      <c r="D574" s="3" t="str">
        <f>UPPER(TEXT('base-pms_spbrasil'!E574,"MMMM"))</f>
        <v>SETEMBRO</v>
      </c>
    </row>
    <row r="575" spans="1:4" x14ac:dyDescent="0.25">
      <c r="A575" s="1">
        <v>41913</v>
      </c>
      <c r="B575">
        <f>YEAR('base-pms_spbrasil'!E575)</f>
        <v>2014</v>
      </c>
      <c r="C575">
        <f>MONTH('base-pms_spbrasil'!E575)</f>
        <v>10</v>
      </c>
      <c r="D575" s="3" t="str">
        <f>UPPER(TEXT('base-pms_spbrasil'!E575,"MMMM"))</f>
        <v>OUTUBRO</v>
      </c>
    </row>
    <row r="576" spans="1:4" x14ac:dyDescent="0.25">
      <c r="A576" s="1">
        <v>41944</v>
      </c>
      <c r="B576">
        <f>YEAR('base-pms_spbrasil'!E576)</f>
        <v>2014</v>
      </c>
      <c r="C576">
        <f>MONTH('base-pms_spbrasil'!E576)</f>
        <v>11</v>
      </c>
      <c r="D576" s="3" t="str">
        <f>UPPER(TEXT('base-pms_spbrasil'!E576,"MMMM"))</f>
        <v>NOVEMBRO</v>
      </c>
    </row>
    <row r="577" spans="1:4" x14ac:dyDescent="0.25">
      <c r="A577" s="1">
        <v>41974</v>
      </c>
      <c r="B577">
        <f>YEAR('base-pms_spbrasil'!E577)</f>
        <v>2014</v>
      </c>
      <c r="C577">
        <f>MONTH('base-pms_spbrasil'!E577)</f>
        <v>12</v>
      </c>
      <c r="D577" s="3" t="str">
        <f>UPPER(TEXT('base-pms_spbrasil'!E577,"MMMM"))</f>
        <v>DEZEMBRO</v>
      </c>
    </row>
    <row r="578" spans="1:4" x14ac:dyDescent="0.25">
      <c r="A578" s="1">
        <v>42005</v>
      </c>
      <c r="B578">
        <f>YEAR('base-pms_spbrasil'!E578)</f>
        <v>2015</v>
      </c>
      <c r="C578">
        <f>MONTH('base-pms_spbrasil'!E578)</f>
        <v>1</v>
      </c>
      <c r="D578" s="3" t="str">
        <f>UPPER(TEXT('base-pms_spbrasil'!E578,"MMMM"))</f>
        <v>JANEIRO</v>
      </c>
    </row>
    <row r="579" spans="1:4" x14ac:dyDescent="0.25">
      <c r="A579" s="1">
        <v>42036</v>
      </c>
      <c r="B579">
        <f>YEAR('base-pms_spbrasil'!E579)</f>
        <v>2015</v>
      </c>
      <c r="C579">
        <f>MONTH('base-pms_spbrasil'!E579)</f>
        <v>2</v>
      </c>
      <c r="D579" s="3" t="str">
        <f>UPPER(TEXT('base-pms_spbrasil'!E579,"MMMM"))</f>
        <v>FEVEREIRO</v>
      </c>
    </row>
    <row r="580" spans="1:4" x14ac:dyDescent="0.25">
      <c r="A580" s="1">
        <v>42064</v>
      </c>
      <c r="B580">
        <f>YEAR('base-pms_spbrasil'!E580)</f>
        <v>2015</v>
      </c>
      <c r="C580">
        <f>MONTH('base-pms_spbrasil'!E580)</f>
        <v>3</v>
      </c>
      <c r="D580" s="3" t="str">
        <f>UPPER(TEXT('base-pms_spbrasil'!E580,"MMMM"))</f>
        <v>MARÇO</v>
      </c>
    </row>
    <row r="581" spans="1:4" x14ac:dyDescent="0.25">
      <c r="A581" s="1">
        <v>42095</v>
      </c>
      <c r="B581">
        <f>YEAR('base-pms_spbrasil'!E581)</f>
        <v>2015</v>
      </c>
      <c r="C581">
        <f>MONTH('base-pms_spbrasil'!E581)</f>
        <v>4</v>
      </c>
      <c r="D581" s="3" t="str">
        <f>UPPER(TEXT('base-pms_spbrasil'!E581,"MMMM"))</f>
        <v>ABRIL</v>
      </c>
    </row>
    <row r="582" spans="1:4" x14ac:dyDescent="0.25">
      <c r="A582" s="1">
        <v>42125</v>
      </c>
      <c r="B582">
        <f>YEAR('base-pms_spbrasil'!E582)</f>
        <v>2015</v>
      </c>
      <c r="C582">
        <f>MONTH('base-pms_spbrasil'!E582)</f>
        <v>5</v>
      </c>
      <c r="D582" s="3" t="str">
        <f>UPPER(TEXT('base-pms_spbrasil'!E582,"MMMM"))</f>
        <v>MAIO</v>
      </c>
    </row>
    <row r="583" spans="1:4" x14ac:dyDescent="0.25">
      <c r="A583" s="1">
        <v>42156</v>
      </c>
      <c r="B583">
        <f>YEAR('base-pms_spbrasil'!E583)</f>
        <v>2015</v>
      </c>
      <c r="C583">
        <f>MONTH('base-pms_spbrasil'!E583)</f>
        <v>6</v>
      </c>
      <c r="D583" s="3" t="str">
        <f>UPPER(TEXT('base-pms_spbrasil'!E583,"MMMM"))</f>
        <v>JUNHO</v>
      </c>
    </row>
    <row r="584" spans="1:4" x14ac:dyDescent="0.25">
      <c r="A584" s="1">
        <v>42186</v>
      </c>
      <c r="B584">
        <f>YEAR('base-pms_spbrasil'!E584)</f>
        <v>2015</v>
      </c>
      <c r="C584">
        <f>MONTH('base-pms_spbrasil'!E584)</f>
        <v>7</v>
      </c>
      <c r="D584" s="3" t="str">
        <f>UPPER(TEXT('base-pms_spbrasil'!E584,"MMMM"))</f>
        <v>JULHO</v>
      </c>
    </row>
    <row r="585" spans="1:4" x14ac:dyDescent="0.25">
      <c r="A585" s="1">
        <v>42217</v>
      </c>
      <c r="B585">
        <f>YEAR('base-pms_spbrasil'!E585)</f>
        <v>2015</v>
      </c>
      <c r="C585">
        <f>MONTH('base-pms_spbrasil'!E585)</f>
        <v>8</v>
      </c>
      <c r="D585" s="3" t="str">
        <f>UPPER(TEXT('base-pms_spbrasil'!E585,"MMMM"))</f>
        <v>AGOSTO</v>
      </c>
    </row>
    <row r="586" spans="1:4" x14ac:dyDescent="0.25">
      <c r="A586" s="1">
        <v>42248</v>
      </c>
      <c r="B586">
        <f>YEAR('base-pms_spbrasil'!E586)</f>
        <v>2015</v>
      </c>
      <c r="C586">
        <f>MONTH('base-pms_spbrasil'!E586)</f>
        <v>9</v>
      </c>
      <c r="D586" s="3" t="str">
        <f>UPPER(TEXT('base-pms_spbrasil'!E586,"MMMM"))</f>
        <v>SETEMBRO</v>
      </c>
    </row>
    <row r="587" spans="1:4" x14ac:dyDescent="0.25">
      <c r="A587" s="1">
        <v>42278</v>
      </c>
      <c r="B587">
        <f>YEAR('base-pms_spbrasil'!E587)</f>
        <v>2015</v>
      </c>
      <c r="C587">
        <f>MONTH('base-pms_spbrasil'!E587)</f>
        <v>10</v>
      </c>
      <c r="D587" s="3" t="str">
        <f>UPPER(TEXT('base-pms_spbrasil'!E587,"MMMM"))</f>
        <v>OUTUBRO</v>
      </c>
    </row>
    <row r="588" spans="1:4" x14ac:dyDescent="0.25">
      <c r="A588" s="1">
        <v>42309</v>
      </c>
      <c r="B588">
        <f>YEAR('base-pms_spbrasil'!E588)</f>
        <v>2015</v>
      </c>
      <c r="C588">
        <f>MONTH('base-pms_spbrasil'!E588)</f>
        <v>11</v>
      </c>
      <c r="D588" s="3" t="str">
        <f>UPPER(TEXT('base-pms_spbrasil'!E588,"MMMM"))</f>
        <v>NOVEMBRO</v>
      </c>
    </row>
    <row r="589" spans="1:4" x14ac:dyDescent="0.25">
      <c r="A589" s="1">
        <v>42339</v>
      </c>
      <c r="B589">
        <f>YEAR('base-pms_spbrasil'!E589)</f>
        <v>2015</v>
      </c>
      <c r="C589">
        <f>MONTH('base-pms_spbrasil'!E589)</f>
        <v>12</v>
      </c>
      <c r="D589" s="3" t="str">
        <f>UPPER(TEXT('base-pms_spbrasil'!E589,"MMMM"))</f>
        <v>DEZEMBRO</v>
      </c>
    </row>
    <row r="590" spans="1:4" x14ac:dyDescent="0.25">
      <c r="A590" s="1">
        <v>42370</v>
      </c>
      <c r="B590">
        <f>YEAR('base-pms_spbrasil'!E590)</f>
        <v>2016</v>
      </c>
      <c r="C590">
        <f>MONTH('base-pms_spbrasil'!E590)</f>
        <v>1</v>
      </c>
      <c r="D590" s="3" t="str">
        <f>UPPER(TEXT('base-pms_spbrasil'!E590,"MMMM"))</f>
        <v>JANEIRO</v>
      </c>
    </row>
    <row r="591" spans="1:4" x14ac:dyDescent="0.25">
      <c r="A591" s="1">
        <v>42401</v>
      </c>
      <c r="B591">
        <f>YEAR('base-pms_spbrasil'!E591)</f>
        <v>2016</v>
      </c>
      <c r="C591">
        <f>MONTH('base-pms_spbrasil'!E591)</f>
        <v>2</v>
      </c>
      <c r="D591" s="3" t="str">
        <f>UPPER(TEXT('base-pms_spbrasil'!E591,"MMMM"))</f>
        <v>FEVEREIRO</v>
      </c>
    </row>
    <row r="592" spans="1:4" x14ac:dyDescent="0.25">
      <c r="A592" s="1">
        <v>42430</v>
      </c>
      <c r="B592">
        <f>YEAR('base-pms_spbrasil'!E592)</f>
        <v>2016</v>
      </c>
      <c r="C592">
        <f>MONTH('base-pms_spbrasil'!E592)</f>
        <v>3</v>
      </c>
      <c r="D592" s="3" t="str">
        <f>UPPER(TEXT('base-pms_spbrasil'!E592,"MMMM"))</f>
        <v>MARÇO</v>
      </c>
    </row>
    <row r="593" spans="1:4" x14ac:dyDescent="0.25">
      <c r="A593" s="1">
        <v>42461</v>
      </c>
      <c r="B593">
        <f>YEAR('base-pms_spbrasil'!E593)</f>
        <v>2016</v>
      </c>
      <c r="C593">
        <f>MONTH('base-pms_spbrasil'!E593)</f>
        <v>4</v>
      </c>
      <c r="D593" s="3" t="str">
        <f>UPPER(TEXT('base-pms_spbrasil'!E593,"MMMM"))</f>
        <v>ABRIL</v>
      </c>
    </row>
    <row r="594" spans="1:4" x14ac:dyDescent="0.25">
      <c r="A594" s="1">
        <v>42491</v>
      </c>
      <c r="B594">
        <f>YEAR('base-pms_spbrasil'!E594)</f>
        <v>2016</v>
      </c>
      <c r="C594">
        <f>MONTH('base-pms_spbrasil'!E594)</f>
        <v>5</v>
      </c>
      <c r="D594" s="3" t="str">
        <f>UPPER(TEXT('base-pms_spbrasil'!E594,"MMMM"))</f>
        <v>MAIO</v>
      </c>
    </row>
    <row r="595" spans="1:4" x14ac:dyDescent="0.25">
      <c r="A595" s="1">
        <v>42522</v>
      </c>
      <c r="B595">
        <f>YEAR('base-pms_spbrasil'!E595)</f>
        <v>2016</v>
      </c>
      <c r="C595">
        <f>MONTH('base-pms_spbrasil'!E595)</f>
        <v>6</v>
      </c>
      <c r="D595" s="3" t="str">
        <f>UPPER(TEXT('base-pms_spbrasil'!E595,"MMMM"))</f>
        <v>JUNHO</v>
      </c>
    </row>
    <row r="596" spans="1:4" x14ac:dyDescent="0.25">
      <c r="A596" s="1">
        <v>42552</v>
      </c>
      <c r="B596">
        <f>YEAR('base-pms_spbrasil'!E596)</f>
        <v>2016</v>
      </c>
      <c r="C596">
        <f>MONTH('base-pms_spbrasil'!E596)</f>
        <v>7</v>
      </c>
      <c r="D596" s="3" t="str">
        <f>UPPER(TEXT('base-pms_spbrasil'!E596,"MMMM"))</f>
        <v>JULHO</v>
      </c>
    </row>
    <row r="597" spans="1:4" x14ac:dyDescent="0.25">
      <c r="A597" s="1">
        <v>42583</v>
      </c>
      <c r="B597">
        <f>YEAR('base-pms_spbrasil'!E597)</f>
        <v>2016</v>
      </c>
      <c r="C597">
        <f>MONTH('base-pms_spbrasil'!E597)</f>
        <v>8</v>
      </c>
      <c r="D597" s="3" t="str">
        <f>UPPER(TEXT('base-pms_spbrasil'!E597,"MMMM"))</f>
        <v>AGOSTO</v>
      </c>
    </row>
    <row r="598" spans="1:4" x14ac:dyDescent="0.25">
      <c r="A598" s="1">
        <v>42614</v>
      </c>
      <c r="B598">
        <f>YEAR('base-pms_spbrasil'!E598)</f>
        <v>2016</v>
      </c>
      <c r="C598">
        <f>MONTH('base-pms_spbrasil'!E598)</f>
        <v>9</v>
      </c>
      <c r="D598" s="3" t="str">
        <f>UPPER(TEXT('base-pms_spbrasil'!E598,"MMMM"))</f>
        <v>SETEMBRO</v>
      </c>
    </row>
    <row r="599" spans="1:4" x14ac:dyDescent="0.25">
      <c r="A599" s="1">
        <v>42644</v>
      </c>
      <c r="B599">
        <f>YEAR('base-pms_spbrasil'!E599)</f>
        <v>2016</v>
      </c>
      <c r="C599">
        <f>MONTH('base-pms_spbrasil'!E599)</f>
        <v>10</v>
      </c>
      <c r="D599" s="3" t="str">
        <f>UPPER(TEXT('base-pms_spbrasil'!E599,"MMMM"))</f>
        <v>OUTUBRO</v>
      </c>
    </row>
    <row r="600" spans="1:4" x14ac:dyDescent="0.25">
      <c r="A600" s="1">
        <v>42675</v>
      </c>
      <c r="B600">
        <f>YEAR('base-pms_spbrasil'!E600)</f>
        <v>2016</v>
      </c>
      <c r="C600">
        <f>MONTH('base-pms_spbrasil'!E600)</f>
        <v>11</v>
      </c>
      <c r="D600" s="3" t="str">
        <f>UPPER(TEXT('base-pms_spbrasil'!E600,"MMMM"))</f>
        <v>NOVEMBRO</v>
      </c>
    </row>
    <row r="601" spans="1:4" x14ac:dyDescent="0.25">
      <c r="A601" s="1">
        <v>42705</v>
      </c>
      <c r="B601">
        <f>YEAR('base-pms_spbrasil'!E601)</f>
        <v>2016</v>
      </c>
      <c r="C601">
        <f>MONTH('base-pms_spbrasil'!E601)</f>
        <v>12</v>
      </c>
      <c r="D601" s="3" t="str">
        <f>UPPER(TEXT('base-pms_spbrasil'!E601,"MMMM"))</f>
        <v>DEZEMBRO</v>
      </c>
    </row>
    <row r="602" spans="1:4" x14ac:dyDescent="0.25">
      <c r="A602" s="1">
        <v>42736</v>
      </c>
      <c r="B602">
        <f>YEAR('base-pms_spbrasil'!E602)</f>
        <v>2017</v>
      </c>
      <c r="C602">
        <f>MONTH('base-pms_spbrasil'!E602)</f>
        <v>1</v>
      </c>
      <c r="D602" s="3" t="str">
        <f>UPPER(TEXT('base-pms_spbrasil'!E602,"MMMM"))</f>
        <v>JANEIRO</v>
      </c>
    </row>
    <row r="603" spans="1:4" x14ac:dyDescent="0.25">
      <c r="A603" s="1">
        <v>42767</v>
      </c>
      <c r="B603">
        <f>YEAR('base-pms_spbrasil'!E603)</f>
        <v>2017</v>
      </c>
      <c r="C603">
        <f>MONTH('base-pms_spbrasil'!E603)</f>
        <v>2</v>
      </c>
      <c r="D603" s="3" t="str">
        <f>UPPER(TEXT('base-pms_spbrasil'!E603,"MMMM"))</f>
        <v>FEVEREIRO</v>
      </c>
    </row>
    <row r="604" spans="1:4" x14ac:dyDescent="0.25">
      <c r="A604" s="1">
        <v>42795</v>
      </c>
      <c r="B604">
        <f>YEAR('base-pms_spbrasil'!E604)</f>
        <v>2017</v>
      </c>
      <c r="C604">
        <f>MONTH('base-pms_spbrasil'!E604)</f>
        <v>3</v>
      </c>
      <c r="D604" s="3" t="str">
        <f>UPPER(TEXT('base-pms_spbrasil'!E604,"MMMM"))</f>
        <v>MARÇO</v>
      </c>
    </row>
    <row r="605" spans="1:4" x14ac:dyDescent="0.25">
      <c r="A605" s="1">
        <v>42826</v>
      </c>
      <c r="B605">
        <f>YEAR('base-pms_spbrasil'!E605)</f>
        <v>2017</v>
      </c>
      <c r="C605">
        <f>MONTH('base-pms_spbrasil'!E605)</f>
        <v>4</v>
      </c>
      <c r="D605" s="3" t="str">
        <f>UPPER(TEXT('base-pms_spbrasil'!E605,"MMMM"))</f>
        <v>ABRIL</v>
      </c>
    </row>
    <row r="606" spans="1:4" x14ac:dyDescent="0.25">
      <c r="A606" s="1">
        <v>42856</v>
      </c>
      <c r="B606">
        <f>YEAR('base-pms_spbrasil'!E606)</f>
        <v>2017</v>
      </c>
      <c r="C606">
        <f>MONTH('base-pms_spbrasil'!E606)</f>
        <v>5</v>
      </c>
      <c r="D606" s="3" t="str">
        <f>UPPER(TEXT('base-pms_spbrasil'!E606,"MMMM"))</f>
        <v>MAIO</v>
      </c>
    </row>
    <row r="607" spans="1:4" x14ac:dyDescent="0.25">
      <c r="A607" s="1">
        <v>42887</v>
      </c>
      <c r="B607">
        <f>YEAR('base-pms_spbrasil'!E607)</f>
        <v>2017</v>
      </c>
      <c r="C607">
        <f>MONTH('base-pms_spbrasil'!E607)</f>
        <v>6</v>
      </c>
      <c r="D607" s="3" t="str">
        <f>UPPER(TEXT('base-pms_spbrasil'!E607,"MMMM"))</f>
        <v>JUNHO</v>
      </c>
    </row>
    <row r="608" spans="1:4" x14ac:dyDescent="0.25">
      <c r="A608" s="1">
        <v>42917</v>
      </c>
      <c r="B608">
        <f>YEAR('base-pms_spbrasil'!E608)</f>
        <v>2017</v>
      </c>
      <c r="C608">
        <f>MONTH('base-pms_spbrasil'!E608)</f>
        <v>7</v>
      </c>
      <c r="D608" s="3" t="str">
        <f>UPPER(TEXT('base-pms_spbrasil'!E608,"MMMM"))</f>
        <v>JULHO</v>
      </c>
    </row>
    <row r="609" spans="1:4" x14ac:dyDescent="0.25">
      <c r="A609" s="1">
        <v>42948</v>
      </c>
      <c r="B609">
        <f>YEAR('base-pms_spbrasil'!E609)</f>
        <v>2017</v>
      </c>
      <c r="C609">
        <f>MONTH('base-pms_spbrasil'!E609)</f>
        <v>8</v>
      </c>
      <c r="D609" s="3" t="str">
        <f>UPPER(TEXT('base-pms_spbrasil'!E609,"MMMM"))</f>
        <v>AGOSTO</v>
      </c>
    </row>
    <row r="610" spans="1:4" x14ac:dyDescent="0.25">
      <c r="A610" s="1">
        <v>42979</v>
      </c>
      <c r="B610">
        <f>YEAR('base-pms_spbrasil'!E610)</f>
        <v>2017</v>
      </c>
      <c r="C610">
        <f>MONTH('base-pms_spbrasil'!E610)</f>
        <v>9</v>
      </c>
      <c r="D610" s="3" t="str">
        <f>UPPER(TEXT('base-pms_spbrasil'!E610,"MMMM"))</f>
        <v>SETEMBRO</v>
      </c>
    </row>
    <row r="611" spans="1:4" x14ac:dyDescent="0.25">
      <c r="A611" s="1">
        <v>43009</v>
      </c>
      <c r="B611">
        <f>YEAR('base-pms_spbrasil'!E611)</f>
        <v>2017</v>
      </c>
      <c r="C611">
        <f>MONTH('base-pms_spbrasil'!E611)</f>
        <v>10</v>
      </c>
      <c r="D611" s="3" t="str">
        <f>UPPER(TEXT('base-pms_spbrasil'!E611,"MMMM"))</f>
        <v>OUTUBRO</v>
      </c>
    </row>
    <row r="612" spans="1:4" x14ac:dyDescent="0.25">
      <c r="A612" s="1">
        <v>43040</v>
      </c>
      <c r="B612">
        <f>YEAR('base-pms_spbrasil'!E612)</f>
        <v>2017</v>
      </c>
      <c r="C612">
        <f>MONTH('base-pms_spbrasil'!E612)</f>
        <v>11</v>
      </c>
      <c r="D612" s="3" t="str">
        <f>UPPER(TEXT('base-pms_spbrasil'!E612,"MMMM"))</f>
        <v>NOVEMBRO</v>
      </c>
    </row>
    <row r="613" spans="1:4" x14ac:dyDescent="0.25">
      <c r="A613" s="1">
        <v>43070</v>
      </c>
      <c r="B613">
        <f>YEAR('base-pms_spbrasil'!E613)</f>
        <v>2017</v>
      </c>
      <c r="C613">
        <f>MONTH('base-pms_spbrasil'!E613)</f>
        <v>12</v>
      </c>
      <c r="D613" s="3" t="str">
        <f>UPPER(TEXT('base-pms_spbrasil'!E613,"MMMM"))</f>
        <v>DEZEMBRO</v>
      </c>
    </row>
    <row r="614" spans="1:4" x14ac:dyDescent="0.25">
      <c r="A614" s="1">
        <v>43101</v>
      </c>
      <c r="B614">
        <f>YEAR('base-pms_spbrasil'!E614)</f>
        <v>2018</v>
      </c>
      <c r="C614">
        <f>MONTH('base-pms_spbrasil'!E614)</f>
        <v>1</v>
      </c>
      <c r="D614" s="3" t="str">
        <f>UPPER(TEXT('base-pms_spbrasil'!E614,"MMMM"))</f>
        <v>JANEIRO</v>
      </c>
    </row>
    <row r="615" spans="1:4" x14ac:dyDescent="0.25">
      <c r="A615" s="1">
        <v>43132</v>
      </c>
      <c r="B615">
        <f>YEAR('base-pms_spbrasil'!E615)</f>
        <v>2018</v>
      </c>
      <c r="C615">
        <f>MONTH('base-pms_spbrasil'!E615)</f>
        <v>2</v>
      </c>
      <c r="D615" s="3" t="str">
        <f>UPPER(TEXT('base-pms_spbrasil'!E615,"MMMM"))</f>
        <v>FEVEREIRO</v>
      </c>
    </row>
    <row r="616" spans="1:4" x14ac:dyDescent="0.25">
      <c r="A616" s="1">
        <v>43160</v>
      </c>
      <c r="B616">
        <f>YEAR('base-pms_spbrasil'!E616)</f>
        <v>2018</v>
      </c>
      <c r="C616">
        <f>MONTH('base-pms_spbrasil'!E616)</f>
        <v>3</v>
      </c>
      <c r="D616" s="3" t="str">
        <f>UPPER(TEXT('base-pms_spbrasil'!E616,"MMMM"))</f>
        <v>MARÇO</v>
      </c>
    </row>
    <row r="617" spans="1:4" x14ac:dyDescent="0.25">
      <c r="A617" s="1">
        <v>43191</v>
      </c>
      <c r="B617">
        <f>YEAR('base-pms_spbrasil'!E617)</f>
        <v>2018</v>
      </c>
      <c r="C617">
        <f>MONTH('base-pms_spbrasil'!E617)</f>
        <v>4</v>
      </c>
      <c r="D617" s="3" t="str">
        <f>UPPER(TEXT('base-pms_spbrasil'!E617,"MMMM"))</f>
        <v>ABRIL</v>
      </c>
    </row>
    <row r="618" spans="1:4" x14ac:dyDescent="0.25">
      <c r="A618" s="1">
        <v>43221</v>
      </c>
      <c r="B618">
        <f>YEAR('base-pms_spbrasil'!E618)</f>
        <v>2018</v>
      </c>
      <c r="C618">
        <f>MONTH('base-pms_spbrasil'!E618)</f>
        <v>5</v>
      </c>
      <c r="D618" s="3" t="str">
        <f>UPPER(TEXT('base-pms_spbrasil'!E618,"MMMM"))</f>
        <v>MAIO</v>
      </c>
    </row>
    <row r="619" spans="1:4" x14ac:dyDescent="0.25">
      <c r="A619" s="1">
        <v>43252</v>
      </c>
      <c r="B619">
        <f>YEAR('base-pms_spbrasil'!E619)</f>
        <v>2018</v>
      </c>
      <c r="C619">
        <f>MONTH('base-pms_spbrasil'!E619)</f>
        <v>6</v>
      </c>
      <c r="D619" s="3" t="str">
        <f>UPPER(TEXT('base-pms_spbrasil'!E619,"MMMM"))</f>
        <v>JUNHO</v>
      </c>
    </row>
    <row r="620" spans="1:4" x14ac:dyDescent="0.25">
      <c r="A620" s="1">
        <v>43282</v>
      </c>
      <c r="B620">
        <f>YEAR('base-pms_spbrasil'!E620)</f>
        <v>2018</v>
      </c>
      <c r="C620">
        <f>MONTH('base-pms_spbrasil'!E620)</f>
        <v>7</v>
      </c>
      <c r="D620" s="3" t="str">
        <f>UPPER(TEXT('base-pms_spbrasil'!E620,"MMMM"))</f>
        <v>JULHO</v>
      </c>
    </row>
    <row r="621" spans="1:4" x14ac:dyDescent="0.25">
      <c r="A621" s="1">
        <v>43313</v>
      </c>
      <c r="B621">
        <f>YEAR('base-pms_spbrasil'!E621)</f>
        <v>2018</v>
      </c>
      <c r="C621">
        <f>MONTH('base-pms_spbrasil'!E621)</f>
        <v>8</v>
      </c>
      <c r="D621" s="3" t="str">
        <f>UPPER(TEXT('base-pms_spbrasil'!E621,"MMMM"))</f>
        <v>AGOSTO</v>
      </c>
    </row>
    <row r="622" spans="1:4" x14ac:dyDescent="0.25">
      <c r="A622" s="1">
        <v>43344</v>
      </c>
      <c r="B622">
        <f>YEAR('base-pms_spbrasil'!E622)</f>
        <v>2018</v>
      </c>
      <c r="C622">
        <f>MONTH('base-pms_spbrasil'!E622)</f>
        <v>9</v>
      </c>
      <c r="D622" s="3" t="str">
        <f>UPPER(TEXT('base-pms_spbrasil'!E622,"MMMM"))</f>
        <v>SETEMBRO</v>
      </c>
    </row>
    <row r="623" spans="1:4" x14ac:dyDescent="0.25">
      <c r="A623" s="1">
        <v>43374</v>
      </c>
      <c r="B623">
        <f>YEAR('base-pms_spbrasil'!E623)</f>
        <v>2018</v>
      </c>
      <c r="C623">
        <f>MONTH('base-pms_spbrasil'!E623)</f>
        <v>10</v>
      </c>
      <c r="D623" s="3" t="str">
        <f>UPPER(TEXT('base-pms_spbrasil'!E623,"MMMM"))</f>
        <v>OUTUBRO</v>
      </c>
    </row>
    <row r="624" spans="1:4" x14ac:dyDescent="0.25">
      <c r="A624" s="1">
        <v>43405</v>
      </c>
      <c r="B624">
        <f>YEAR('base-pms_spbrasil'!E624)</f>
        <v>2018</v>
      </c>
      <c r="C624">
        <f>MONTH('base-pms_spbrasil'!E624)</f>
        <v>11</v>
      </c>
      <c r="D624" s="3" t="str">
        <f>UPPER(TEXT('base-pms_spbrasil'!E624,"MMMM"))</f>
        <v>NOVEMBRO</v>
      </c>
    </row>
    <row r="625" spans="1:4" x14ac:dyDescent="0.25">
      <c r="A625" s="1">
        <v>43435</v>
      </c>
      <c r="B625">
        <f>YEAR('base-pms_spbrasil'!E625)</f>
        <v>2018</v>
      </c>
      <c r="C625">
        <f>MONTH('base-pms_spbrasil'!E625)</f>
        <v>12</v>
      </c>
      <c r="D625" s="3" t="str">
        <f>UPPER(TEXT('base-pms_spbrasil'!E625,"MMMM"))</f>
        <v>DEZEMBRO</v>
      </c>
    </row>
    <row r="626" spans="1:4" x14ac:dyDescent="0.25">
      <c r="A626" s="1">
        <v>43466</v>
      </c>
      <c r="B626">
        <f>YEAR('base-pms_spbrasil'!E626)</f>
        <v>2019</v>
      </c>
      <c r="C626">
        <f>MONTH('base-pms_spbrasil'!E626)</f>
        <v>1</v>
      </c>
      <c r="D626" s="3" t="str">
        <f>UPPER(TEXT('base-pms_spbrasil'!E626,"MMMM"))</f>
        <v>JANEIRO</v>
      </c>
    </row>
    <row r="627" spans="1:4" x14ac:dyDescent="0.25">
      <c r="A627" s="1">
        <v>43497</v>
      </c>
      <c r="B627">
        <f>YEAR('base-pms_spbrasil'!E627)</f>
        <v>2019</v>
      </c>
      <c r="C627">
        <f>MONTH('base-pms_spbrasil'!E627)</f>
        <v>2</v>
      </c>
      <c r="D627" s="3" t="str">
        <f>UPPER(TEXT('base-pms_spbrasil'!E627,"MMMM"))</f>
        <v>FEVEREIRO</v>
      </c>
    </row>
    <row r="628" spans="1:4" x14ac:dyDescent="0.25">
      <c r="A628" s="1">
        <v>43525</v>
      </c>
      <c r="B628">
        <f>YEAR('base-pms_spbrasil'!E628)</f>
        <v>2019</v>
      </c>
      <c r="C628">
        <f>MONTH('base-pms_spbrasil'!E628)</f>
        <v>3</v>
      </c>
      <c r="D628" s="3" t="str">
        <f>UPPER(TEXT('base-pms_spbrasil'!E628,"MMMM"))</f>
        <v>MARÇO</v>
      </c>
    </row>
    <row r="629" spans="1:4" x14ac:dyDescent="0.25">
      <c r="A629" s="1">
        <v>43556</v>
      </c>
      <c r="B629">
        <f>YEAR('base-pms_spbrasil'!E629)</f>
        <v>2019</v>
      </c>
      <c r="C629">
        <f>MONTH('base-pms_spbrasil'!E629)</f>
        <v>4</v>
      </c>
      <c r="D629" s="3" t="str">
        <f>UPPER(TEXT('base-pms_spbrasil'!E629,"MMMM"))</f>
        <v>ABRIL</v>
      </c>
    </row>
    <row r="630" spans="1:4" x14ac:dyDescent="0.25">
      <c r="A630" s="1">
        <v>43586</v>
      </c>
      <c r="B630">
        <f>YEAR('base-pms_spbrasil'!E630)</f>
        <v>2019</v>
      </c>
      <c r="C630">
        <f>MONTH('base-pms_spbrasil'!E630)</f>
        <v>5</v>
      </c>
      <c r="D630" s="3" t="str">
        <f>UPPER(TEXT('base-pms_spbrasil'!E630,"MMMM"))</f>
        <v>MAIO</v>
      </c>
    </row>
    <row r="631" spans="1:4" x14ac:dyDescent="0.25">
      <c r="A631" s="1">
        <v>43617</v>
      </c>
      <c r="B631">
        <f>YEAR('base-pms_spbrasil'!E631)</f>
        <v>2019</v>
      </c>
      <c r="C631">
        <f>MONTH('base-pms_spbrasil'!E631)</f>
        <v>6</v>
      </c>
      <c r="D631" s="3" t="str">
        <f>UPPER(TEXT('base-pms_spbrasil'!E631,"MMMM"))</f>
        <v>JUNHO</v>
      </c>
    </row>
    <row r="632" spans="1:4" x14ac:dyDescent="0.25">
      <c r="A632" s="1">
        <v>43647</v>
      </c>
      <c r="B632">
        <f>YEAR('base-pms_spbrasil'!E632)</f>
        <v>2019</v>
      </c>
      <c r="C632">
        <f>MONTH('base-pms_spbrasil'!E632)</f>
        <v>7</v>
      </c>
      <c r="D632" s="3" t="str">
        <f>UPPER(TEXT('base-pms_spbrasil'!E632,"MMMM"))</f>
        <v>JULHO</v>
      </c>
    </row>
    <row r="633" spans="1:4" x14ac:dyDescent="0.25">
      <c r="A633" s="1">
        <v>43678</v>
      </c>
      <c r="B633">
        <f>YEAR('base-pms_spbrasil'!E633)</f>
        <v>2019</v>
      </c>
      <c r="C633">
        <f>MONTH('base-pms_spbrasil'!E633)</f>
        <v>8</v>
      </c>
      <c r="D633" s="3" t="str">
        <f>UPPER(TEXT('base-pms_spbrasil'!E633,"MMMM"))</f>
        <v>AGOSTO</v>
      </c>
    </row>
    <row r="634" spans="1:4" x14ac:dyDescent="0.25">
      <c r="A634" s="1">
        <v>43709</v>
      </c>
      <c r="B634">
        <f>YEAR('base-pms_spbrasil'!E634)</f>
        <v>2019</v>
      </c>
      <c r="C634">
        <f>MONTH('base-pms_spbrasil'!E634)</f>
        <v>9</v>
      </c>
      <c r="D634" s="3" t="str">
        <f>UPPER(TEXT('base-pms_spbrasil'!E634,"MMMM"))</f>
        <v>SETEMBRO</v>
      </c>
    </row>
    <row r="635" spans="1:4" x14ac:dyDescent="0.25">
      <c r="A635" s="1">
        <v>43739</v>
      </c>
      <c r="B635">
        <f>YEAR('base-pms_spbrasil'!E635)</f>
        <v>2019</v>
      </c>
      <c r="C635">
        <f>MONTH('base-pms_spbrasil'!E635)</f>
        <v>10</v>
      </c>
      <c r="D635" s="3" t="str">
        <f>UPPER(TEXT('base-pms_spbrasil'!E635,"MMMM"))</f>
        <v>OUTUBRO</v>
      </c>
    </row>
    <row r="636" spans="1:4" x14ac:dyDescent="0.25">
      <c r="A636" s="1">
        <v>43770</v>
      </c>
      <c r="B636">
        <f>YEAR('base-pms_spbrasil'!E636)</f>
        <v>2019</v>
      </c>
      <c r="C636">
        <f>MONTH('base-pms_spbrasil'!E636)</f>
        <v>11</v>
      </c>
      <c r="D636" s="3" t="str">
        <f>UPPER(TEXT('base-pms_spbrasil'!E636,"MMMM"))</f>
        <v>NOVEMBRO</v>
      </c>
    </row>
    <row r="637" spans="1:4" x14ac:dyDescent="0.25">
      <c r="A637" s="1">
        <v>43800</v>
      </c>
      <c r="B637">
        <f>YEAR('base-pms_spbrasil'!E637)</f>
        <v>2019</v>
      </c>
      <c r="C637">
        <f>MONTH('base-pms_spbrasil'!E637)</f>
        <v>12</v>
      </c>
      <c r="D637" s="3" t="str">
        <f>UPPER(TEXT('base-pms_spbrasil'!E637,"MMMM"))</f>
        <v>DEZEMBRO</v>
      </c>
    </row>
    <row r="638" spans="1:4" x14ac:dyDescent="0.25">
      <c r="A638" s="1">
        <v>43831</v>
      </c>
      <c r="B638">
        <f>YEAR('base-pms_spbrasil'!E638)</f>
        <v>2020</v>
      </c>
      <c r="C638">
        <f>MONTH('base-pms_spbrasil'!E638)</f>
        <v>1</v>
      </c>
      <c r="D638" s="3" t="str">
        <f>UPPER(TEXT('base-pms_spbrasil'!E638,"MMMM"))</f>
        <v>JANEIRO</v>
      </c>
    </row>
    <row r="639" spans="1:4" x14ac:dyDescent="0.25">
      <c r="A639" s="1">
        <v>43862</v>
      </c>
      <c r="B639">
        <f>YEAR('base-pms_spbrasil'!E639)</f>
        <v>2020</v>
      </c>
      <c r="C639">
        <f>MONTH('base-pms_spbrasil'!E639)</f>
        <v>2</v>
      </c>
      <c r="D639" s="3" t="str">
        <f>UPPER(TEXT('base-pms_spbrasil'!E639,"MMMM"))</f>
        <v>FEVEREIRO</v>
      </c>
    </row>
    <row r="640" spans="1:4" x14ac:dyDescent="0.25">
      <c r="A640" s="1">
        <v>43891</v>
      </c>
      <c r="B640">
        <f>YEAR('base-pms_spbrasil'!E640)</f>
        <v>2020</v>
      </c>
      <c r="C640">
        <f>MONTH('base-pms_spbrasil'!E640)</f>
        <v>3</v>
      </c>
      <c r="D640" s="3" t="str">
        <f>UPPER(TEXT('base-pms_spbrasil'!E640,"MMMM"))</f>
        <v>MARÇO</v>
      </c>
    </row>
    <row r="641" spans="1:4" x14ac:dyDescent="0.25">
      <c r="A641" s="1">
        <v>43922</v>
      </c>
      <c r="B641">
        <f>YEAR('base-pms_spbrasil'!E641)</f>
        <v>2020</v>
      </c>
      <c r="C641">
        <f>MONTH('base-pms_spbrasil'!E641)</f>
        <v>4</v>
      </c>
      <c r="D641" s="3" t="str">
        <f>UPPER(TEXT('base-pms_spbrasil'!E641,"MMMM"))</f>
        <v>ABRIL</v>
      </c>
    </row>
    <row r="642" spans="1:4" x14ac:dyDescent="0.25">
      <c r="A642" s="1">
        <v>43952</v>
      </c>
      <c r="B642">
        <f>YEAR('base-pms_spbrasil'!E642)</f>
        <v>2020</v>
      </c>
      <c r="C642">
        <f>MONTH('base-pms_spbrasil'!E642)</f>
        <v>5</v>
      </c>
      <c r="D642" s="3" t="str">
        <f>UPPER(TEXT('base-pms_spbrasil'!E642,"MMMM"))</f>
        <v>MAIO</v>
      </c>
    </row>
    <row r="643" spans="1:4" x14ac:dyDescent="0.25">
      <c r="A643" s="1">
        <v>43983</v>
      </c>
      <c r="B643">
        <f>YEAR('base-pms_spbrasil'!E643)</f>
        <v>2020</v>
      </c>
      <c r="C643">
        <f>MONTH('base-pms_spbrasil'!E643)</f>
        <v>6</v>
      </c>
      <c r="D643" s="3" t="str">
        <f>UPPER(TEXT('base-pms_spbrasil'!E643,"MMMM"))</f>
        <v>JUNHO</v>
      </c>
    </row>
    <row r="644" spans="1:4" x14ac:dyDescent="0.25">
      <c r="A644" s="1">
        <v>44013</v>
      </c>
      <c r="B644">
        <f>YEAR('base-pms_spbrasil'!E644)</f>
        <v>2020</v>
      </c>
      <c r="C644">
        <f>MONTH('base-pms_spbrasil'!E644)</f>
        <v>7</v>
      </c>
      <c r="D644" s="3" t="str">
        <f>UPPER(TEXT('base-pms_spbrasil'!E644,"MMMM"))</f>
        <v>JULHO</v>
      </c>
    </row>
    <row r="645" spans="1:4" x14ac:dyDescent="0.25">
      <c r="A645" s="1">
        <v>44044</v>
      </c>
      <c r="B645">
        <f>YEAR('base-pms_spbrasil'!E645)</f>
        <v>2020</v>
      </c>
      <c r="C645">
        <f>MONTH('base-pms_spbrasil'!E645)</f>
        <v>8</v>
      </c>
      <c r="D645" s="3" t="str">
        <f>UPPER(TEXT('base-pms_spbrasil'!E645,"MMMM"))</f>
        <v>AGOSTO</v>
      </c>
    </row>
    <row r="646" spans="1:4" x14ac:dyDescent="0.25">
      <c r="A646" s="1">
        <v>44075</v>
      </c>
      <c r="B646">
        <f>YEAR('base-pms_spbrasil'!E646)</f>
        <v>2020</v>
      </c>
      <c r="C646">
        <f>MONTH('base-pms_spbrasil'!E646)</f>
        <v>9</v>
      </c>
      <c r="D646" s="3" t="str">
        <f>UPPER(TEXT('base-pms_spbrasil'!E646,"MMMM"))</f>
        <v>SETEMBRO</v>
      </c>
    </row>
    <row r="647" spans="1:4" x14ac:dyDescent="0.25">
      <c r="A647" s="1">
        <v>44105</v>
      </c>
      <c r="B647">
        <f>YEAR('base-pms_spbrasil'!E647)</f>
        <v>2020</v>
      </c>
      <c r="C647">
        <f>MONTH('base-pms_spbrasil'!E647)</f>
        <v>10</v>
      </c>
      <c r="D647" s="3" t="str">
        <f>UPPER(TEXT('base-pms_spbrasil'!E647,"MMMM"))</f>
        <v>OUTUBRO</v>
      </c>
    </row>
    <row r="648" spans="1:4" x14ac:dyDescent="0.25">
      <c r="A648" s="1">
        <v>44136</v>
      </c>
      <c r="B648">
        <f>YEAR('base-pms_spbrasil'!E648)</f>
        <v>2020</v>
      </c>
      <c r="C648">
        <f>MONTH('base-pms_spbrasil'!E648)</f>
        <v>11</v>
      </c>
      <c r="D648" s="3" t="str">
        <f>UPPER(TEXT('base-pms_spbrasil'!E648,"MMMM"))</f>
        <v>NOVEMBRO</v>
      </c>
    </row>
    <row r="649" spans="1:4" x14ac:dyDescent="0.25">
      <c r="A649" s="1">
        <v>44166</v>
      </c>
      <c r="B649">
        <f>YEAR('base-pms_spbrasil'!E649)</f>
        <v>2020</v>
      </c>
      <c r="C649">
        <f>MONTH('base-pms_spbrasil'!E649)</f>
        <v>12</v>
      </c>
      <c r="D649" s="3" t="str">
        <f>UPPER(TEXT('base-pms_spbrasil'!E649,"MMMM"))</f>
        <v>DEZEMBRO</v>
      </c>
    </row>
    <row r="650" spans="1:4" x14ac:dyDescent="0.25">
      <c r="A650" s="1">
        <v>44197</v>
      </c>
      <c r="B650">
        <f>YEAR('base-pms_spbrasil'!E650)</f>
        <v>2021</v>
      </c>
      <c r="C650">
        <f>MONTH('base-pms_spbrasil'!E650)</f>
        <v>1</v>
      </c>
      <c r="D650" s="3" t="str">
        <f>UPPER(TEXT('base-pms_spbrasil'!E650,"MMMM"))</f>
        <v>JANEIRO</v>
      </c>
    </row>
    <row r="651" spans="1:4" x14ac:dyDescent="0.25">
      <c r="A651" s="1">
        <v>44228</v>
      </c>
      <c r="B651">
        <f>YEAR('base-pms_spbrasil'!E651)</f>
        <v>2021</v>
      </c>
      <c r="C651">
        <f>MONTH('base-pms_spbrasil'!E651)</f>
        <v>2</v>
      </c>
      <c r="D651" s="3" t="str">
        <f>UPPER(TEXT('base-pms_spbrasil'!E651,"MMMM"))</f>
        <v>FEVEREIRO</v>
      </c>
    </row>
    <row r="652" spans="1:4" x14ac:dyDescent="0.25">
      <c r="A652" s="1">
        <v>44256</v>
      </c>
      <c r="B652">
        <f>YEAR('base-pms_spbrasil'!E652)</f>
        <v>2021</v>
      </c>
      <c r="C652">
        <f>MONTH('base-pms_spbrasil'!E652)</f>
        <v>3</v>
      </c>
      <c r="D652" s="3" t="str">
        <f>UPPER(TEXT('base-pms_spbrasil'!E652,"MMMM"))</f>
        <v>MARÇO</v>
      </c>
    </row>
    <row r="653" spans="1:4" x14ac:dyDescent="0.25">
      <c r="A653" s="1">
        <v>44287</v>
      </c>
      <c r="B653">
        <f>YEAR('base-pms_spbrasil'!E653)</f>
        <v>2021</v>
      </c>
      <c r="C653">
        <f>MONTH('base-pms_spbrasil'!E653)</f>
        <v>4</v>
      </c>
      <c r="D653" s="3" t="str">
        <f>UPPER(TEXT('base-pms_spbrasil'!E653,"MMMM"))</f>
        <v>ABRIL</v>
      </c>
    </row>
    <row r="654" spans="1:4" x14ac:dyDescent="0.25">
      <c r="A654" s="1">
        <v>44317</v>
      </c>
      <c r="B654">
        <f>YEAR('base-pms_spbrasil'!E654)</f>
        <v>2021</v>
      </c>
      <c r="C654">
        <f>MONTH('base-pms_spbrasil'!E654)</f>
        <v>5</v>
      </c>
      <c r="D654" s="3" t="str">
        <f>UPPER(TEXT('base-pms_spbrasil'!E654,"MMMM"))</f>
        <v>MAIO</v>
      </c>
    </row>
    <row r="655" spans="1:4" x14ac:dyDescent="0.25">
      <c r="A655" s="1">
        <v>44348</v>
      </c>
      <c r="B655">
        <f>YEAR('base-pms_spbrasil'!E655)</f>
        <v>2021</v>
      </c>
      <c r="C655">
        <f>MONTH('base-pms_spbrasil'!E655)</f>
        <v>6</v>
      </c>
      <c r="D655" s="3" t="str">
        <f>UPPER(TEXT('base-pms_spbrasil'!E655,"MMMM"))</f>
        <v>JUNHO</v>
      </c>
    </row>
    <row r="656" spans="1:4" x14ac:dyDescent="0.25">
      <c r="A656" s="1">
        <v>44378</v>
      </c>
      <c r="B656">
        <f>YEAR('base-pms_spbrasil'!E656)</f>
        <v>2021</v>
      </c>
      <c r="C656">
        <f>MONTH('base-pms_spbrasil'!E656)</f>
        <v>7</v>
      </c>
      <c r="D656" s="3" t="str">
        <f>UPPER(TEXT('base-pms_spbrasil'!E656,"MMMM"))</f>
        <v>JULHO</v>
      </c>
    </row>
    <row r="657" spans="1:4" x14ac:dyDescent="0.25">
      <c r="A657" s="1">
        <v>44409</v>
      </c>
      <c r="B657">
        <f>YEAR('base-pms_spbrasil'!E657)</f>
        <v>2021</v>
      </c>
      <c r="C657">
        <f>MONTH('base-pms_spbrasil'!E657)</f>
        <v>8</v>
      </c>
      <c r="D657" s="3" t="str">
        <f>UPPER(TEXT('base-pms_spbrasil'!E657,"MMMM"))</f>
        <v>AGOSTO</v>
      </c>
    </row>
    <row r="658" spans="1:4" x14ac:dyDescent="0.25">
      <c r="A658" s="1">
        <v>44440</v>
      </c>
      <c r="B658">
        <f>YEAR('base-pms_spbrasil'!E658)</f>
        <v>2021</v>
      </c>
      <c r="C658">
        <f>MONTH('base-pms_spbrasil'!E658)</f>
        <v>9</v>
      </c>
      <c r="D658" s="3" t="str">
        <f>UPPER(TEXT('base-pms_spbrasil'!E658,"MMMM"))</f>
        <v>SETEMBRO</v>
      </c>
    </row>
    <row r="659" spans="1:4" x14ac:dyDescent="0.25">
      <c r="A659" s="1">
        <v>44470</v>
      </c>
      <c r="B659">
        <f>YEAR('base-pms_spbrasil'!E659)</f>
        <v>2021</v>
      </c>
      <c r="C659">
        <f>MONTH('base-pms_spbrasil'!E659)</f>
        <v>10</v>
      </c>
      <c r="D659" s="3" t="str">
        <f>UPPER(TEXT('base-pms_spbrasil'!E659,"MMMM"))</f>
        <v>OUTUBRO</v>
      </c>
    </row>
    <row r="660" spans="1:4" x14ac:dyDescent="0.25">
      <c r="A660" s="1">
        <v>44501</v>
      </c>
      <c r="B660">
        <f>YEAR('base-pms_spbrasil'!E660)</f>
        <v>2021</v>
      </c>
      <c r="C660">
        <f>MONTH('base-pms_spbrasil'!E660)</f>
        <v>11</v>
      </c>
      <c r="D660" s="3" t="str">
        <f>UPPER(TEXT('base-pms_spbrasil'!E660,"MMMM"))</f>
        <v>NOVEMBRO</v>
      </c>
    </row>
    <row r="661" spans="1:4" x14ac:dyDescent="0.25">
      <c r="A661" s="1">
        <v>44531</v>
      </c>
      <c r="B661">
        <f>YEAR('base-pms_spbrasil'!E661)</f>
        <v>2021</v>
      </c>
      <c r="C661">
        <f>MONTH('base-pms_spbrasil'!E661)</f>
        <v>12</v>
      </c>
      <c r="D661" s="3" t="str">
        <f>UPPER(TEXT('base-pms_spbrasil'!E661,"MMMM"))</f>
        <v>DEZEMBRO</v>
      </c>
    </row>
    <row r="662" spans="1:4" x14ac:dyDescent="0.25">
      <c r="A662" s="1">
        <v>44562</v>
      </c>
      <c r="B662">
        <f>YEAR('base-pms_spbrasil'!E662)</f>
        <v>2022</v>
      </c>
      <c r="C662">
        <f>MONTH('base-pms_spbrasil'!E662)</f>
        <v>1</v>
      </c>
      <c r="D662" s="3" t="str">
        <f>UPPER(TEXT('base-pms_spbrasil'!E662,"MMMM"))</f>
        <v>JANEIRO</v>
      </c>
    </row>
    <row r="663" spans="1:4" x14ac:dyDescent="0.25">
      <c r="A663" s="1">
        <v>44593</v>
      </c>
      <c r="B663">
        <f>YEAR('base-pms_spbrasil'!E663)</f>
        <v>2022</v>
      </c>
      <c r="C663">
        <f>MONTH('base-pms_spbrasil'!E663)</f>
        <v>2</v>
      </c>
      <c r="D663" s="3" t="str">
        <f>UPPER(TEXT('base-pms_spbrasil'!E663,"MMMM"))</f>
        <v>FEVEREIRO</v>
      </c>
    </row>
    <row r="664" spans="1:4" x14ac:dyDescent="0.25">
      <c r="A664" s="1">
        <v>44621</v>
      </c>
      <c r="B664">
        <f>YEAR('base-pms_spbrasil'!E664)</f>
        <v>2022</v>
      </c>
      <c r="C664">
        <f>MONTH('base-pms_spbrasil'!E664)</f>
        <v>3</v>
      </c>
      <c r="D664" s="3" t="str">
        <f>UPPER(TEXT('base-pms_spbrasil'!E664,"MMMM"))</f>
        <v>MARÇO</v>
      </c>
    </row>
    <row r="665" spans="1:4" x14ac:dyDescent="0.25">
      <c r="A665" s="1">
        <v>44652</v>
      </c>
      <c r="B665">
        <f>YEAR('base-pms_spbrasil'!E665)</f>
        <v>2022</v>
      </c>
      <c r="C665">
        <f>MONTH('base-pms_spbrasil'!E665)</f>
        <v>4</v>
      </c>
      <c r="D665" s="3" t="str">
        <f>UPPER(TEXT('base-pms_spbrasil'!E665,"MMMM"))</f>
        <v>ABRIL</v>
      </c>
    </row>
    <row r="666" spans="1:4" x14ac:dyDescent="0.25">
      <c r="A666" s="1">
        <v>44682</v>
      </c>
      <c r="B666">
        <f>YEAR('base-pms_spbrasil'!E666)</f>
        <v>2022</v>
      </c>
      <c r="C666">
        <f>MONTH('base-pms_spbrasil'!E666)</f>
        <v>5</v>
      </c>
      <c r="D666" s="3" t="str">
        <f>UPPER(TEXT('base-pms_spbrasil'!E666,"MMMM"))</f>
        <v>MAIO</v>
      </c>
    </row>
    <row r="667" spans="1:4" x14ac:dyDescent="0.25">
      <c r="A667" s="1">
        <v>44713</v>
      </c>
      <c r="B667">
        <f>YEAR('base-pms_spbrasil'!E667)</f>
        <v>2022</v>
      </c>
      <c r="C667">
        <f>MONTH('base-pms_spbrasil'!E667)</f>
        <v>6</v>
      </c>
      <c r="D667" s="3" t="str">
        <f>UPPER(TEXT('base-pms_spbrasil'!E667,"MMMM"))</f>
        <v>JUNHO</v>
      </c>
    </row>
    <row r="668" spans="1:4" x14ac:dyDescent="0.25">
      <c r="A668" s="1">
        <v>44743</v>
      </c>
      <c r="B668">
        <f>YEAR('base-pms_spbrasil'!E668)</f>
        <v>2022</v>
      </c>
      <c r="C668">
        <f>MONTH('base-pms_spbrasil'!E668)</f>
        <v>7</v>
      </c>
      <c r="D668" s="3" t="str">
        <f>UPPER(TEXT('base-pms_spbrasil'!E668,"MMMM"))</f>
        <v>JULHO</v>
      </c>
    </row>
    <row r="669" spans="1:4" x14ac:dyDescent="0.25">
      <c r="A669" s="1">
        <v>44774</v>
      </c>
      <c r="B669">
        <f>YEAR('base-pms_spbrasil'!E669)</f>
        <v>2022</v>
      </c>
      <c r="C669">
        <f>MONTH('base-pms_spbrasil'!E669)</f>
        <v>8</v>
      </c>
      <c r="D669" s="3" t="str">
        <f>UPPER(TEXT('base-pms_spbrasil'!E669,"MMMM"))</f>
        <v>AGOSTO</v>
      </c>
    </row>
    <row r="670" spans="1:4" x14ac:dyDescent="0.25">
      <c r="A670" s="1">
        <v>44805</v>
      </c>
      <c r="B670">
        <f>YEAR('base-pms_spbrasil'!E670)</f>
        <v>2022</v>
      </c>
      <c r="C670">
        <f>MONTH('base-pms_spbrasil'!E670)</f>
        <v>9</v>
      </c>
      <c r="D670" s="3" t="str">
        <f>UPPER(TEXT('base-pms_spbrasil'!E670,"MMMM"))</f>
        <v>SETEMBRO</v>
      </c>
    </row>
    <row r="671" spans="1:4" x14ac:dyDescent="0.25">
      <c r="A671" s="1">
        <v>44835</v>
      </c>
      <c r="B671">
        <f>YEAR('base-pms_spbrasil'!E671)</f>
        <v>2022</v>
      </c>
      <c r="C671">
        <f>MONTH('base-pms_spbrasil'!E671)</f>
        <v>10</v>
      </c>
      <c r="D671" s="3" t="str">
        <f>UPPER(TEXT('base-pms_spbrasil'!E671,"MMMM"))</f>
        <v>OUTUBRO</v>
      </c>
    </row>
    <row r="672" spans="1:4" x14ac:dyDescent="0.25">
      <c r="A672" s="1">
        <v>44866</v>
      </c>
      <c r="B672">
        <f>YEAR('base-pms_spbrasil'!E672)</f>
        <v>2022</v>
      </c>
      <c r="C672">
        <f>MONTH('base-pms_spbrasil'!E672)</f>
        <v>11</v>
      </c>
      <c r="D672" s="3" t="str">
        <f>UPPER(TEXT('base-pms_spbrasil'!E672,"MMMM"))</f>
        <v>NOVEMBRO</v>
      </c>
    </row>
    <row r="673" spans="1:4" x14ac:dyDescent="0.25">
      <c r="A673" s="1">
        <v>44896</v>
      </c>
      <c r="B673">
        <f>YEAR('base-pms_spbrasil'!E673)</f>
        <v>2022</v>
      </c>
      <c r="C673">
        <f>MONTH('base-pms_spbrasil'!E673)</f>
        <v>12</v>
      </c>
      <c r="D673" s="3" t="str">
        <f>UPPER(TEXT('base-pms_spbrasil'!E673,"MMMM"))</f>
        <v>DEZEMBRO</v>
      </c>
    </row>
    <row r="674" spans="1:4" x14ac:dyDescent="0.25">
      <c r="A674" s="1">
        <v>44927</v>
      </c>
      <c r="B674">
        <f>YEAR('base-pms_spbrasil'!E674)</f>
        <v>2023</v>
      </c>
      <c r="C674">
        <f>MONTH('base-pms_spbrasil'!E674)</f>
        <v>1</v>
      </c>
      <c r="D674" s="3" t="str">
        <f>UPPER(TEXT('base-pms_spbrasil'!E674,"MMMM"))</f>
        <v>JANEIRO</v>
      </c>
    </row>
    <row r="675" spans="1:4" x14ac:dyDescent="0.25">
      <c r="A675" s="1">
        <v>44958</v>
      </c>
      <c r="B675">
        <f>YEAR('base-pms_spbrasil'!E675)</f>
        <v>2023</v>
      </c>
      <c r="C675">
        <f>MONTH('base-pms_spbrasil'!E675)</f>
        <v>2</v>
      </c>
      <c r="D675" s="3" t="str">
        <f>UPPER(TEXT('base-pms_spbrasil'!E675,"MMMM"))</f>
        <v>FEVEREIRO</v>
      </c>
    </row>
    <row r="676" spans="1:4" x14ac:dyDescent="0.25">
      <c r="A676" s="1">
        <v>44986</v>
      </c>
      <c r="B676">
        <f>YEAR('base-pms_spbrasil'!E676)</f>
        <v>2023</v>
      </c>
      <c r="C676">
        <f>MONTH('base-pms_spbrasil'!E676)</f>
        <v>3</v>
      </c>
      <c r="D676" s="3" t="str">
        <f>UPPER(TEXT('base-pms_spbrasil'!E676,"MMMM"))</f>
        <v>MARÇO</v>
      </c>
    </row>
    <row r="677" spans="1:4" x14ac:dyDescent="0.25">
      <c r="A677" s="1">
        <v>45017</v>
      </c>
      <c r="B677">
        <f>YEAR('base-pms_spbrasil'!E677)</f>
        <v>2023</v>
      </c>
      <c r="C677">
        <f>MONTH('base-pms_spbrasil'!E677)</f>
        <v>4</v>
      </c>
      <c r="D677" s="3" t="str">
        <f>UPPER(TEXT('base-pms_spbrasil'!E677,"MMMM"))</f>
        <v>ABRIL</v>
      </c>
    </row>
    <row r="678" spans="1:4" x14ac:dyDescent="0.25">
      <c r="A678" s="1">
        <v>45047</v>
      </c>
      <c r="B678">
        <f>YEAR('base-pms_spbrasil'!E678)</f>
        <v>2023</v>
      </c>
      <c r="C678">
        <f>MONTH('base-pms_spbrasil'!E678)</f>
        <v>5</v>
      </c>
      <c r="D678" s="3" t="str">
        <f>UPPER(TEXT('base-pms_spbrasil'!E678,"MMMM"))</f>
        <v>MAIO</v>
      </c>
    </row>
    <row r="679" spans="1:4" x14ac:dyDescent="0.25">
      <c r="A679" s="1">
        <v>45078</v>
      </c>
      <c r="B679">
        <f>YEAR('base-pms_spbrasil'!E679)</f>
        <v>2023</v>
      </c>
      <c r="C679">
        <f>MONTH('base-pms_spbrasil'!E679)</f>
        <v>6</v>
      </c>
      <c r="D679" s="3" t="str">
        <f>UPPER(TEXT('base-pms_spbrasil'!E679,"MMMM"))</f>
        <v>JUNHO</v>
      </c>
    </row>
    <row r="680" spans="1:4" x14ac:dyDescent="0.25">
      <c r="A680" s="1">
        <v>45108</v>
      </c>
      <c r="B680">
        <f>YEAR('base-pms_spbrasil'!E680)</f>
        <v>2023</v>
      </c>
      <c r="C680">
        <f>MONTH('base-pms_spbrasil'!E680)</f>
        <v>7</v>
      </c>
      <c r="D680" s="3" t="str">
        <f>UPPER(TEXT('base-pms_spbrasil'!E680,"MMMM"))</f>
        <v>JULHO</v>
      </c>
    </row>
    <row r="681" spans="1:4" x14ac:dyDescent="0.25">
      <c r="A681" s="1">
        <v>45139</v>
      </c>
      <c r="B681">
        <f>YEAR('base-pms_spbrasil'!E681)</f>
        <v>2023</v>
      </c>
      <c r="C681">
        <f>MONTH('base-pms_spbrasil'!E681)</f>
        <v>8</v>
      </c>
      <c r="D681" s="3" t="str">
        <f>UPPER(TEXT('base-pms_spbrasil'!E681,"MMMM"))</f>
        <v>AGOSTO</v>
      </c>
    </row>
    <row r="682" spans="1:4" x14ac:dyDescent="0.25">
      <c r="A682" s="1">
        <v>45170</v>
      </c>
      <c r="B682">
        <f>YEAR('base-pms_spbrasil'!E682)</f>
        <v>2023</v>
      </c>
      <c r="C682">
        <f>MONTH('base-pms_spbrasil'!E682)</f>
        <v>9</v>
      </c>
      <c r="D682" s="3" t="str">
        <f>UPPER(TEXT('base-pms_spbrasil'!E682,"MMMM"))</f>
        <v>SETEMBRO</v>
      </c>
    </row>
    <row r="683" spans="1:4" x14ac:dyDescent="0.25">
      <c r="A683" s="1">
        <v>45200</v>
      </c>
      <c r="B683">
        <f>YEAR('base-pms_spbrasil'!E683)</f>
        <v>2023</v>
      </c>
      <c r="C683">
        <f>MONTH('base-pms_spbrasil'!E683)</f>
        <v>10</v>
      </c>
      <c r="D683" s="3" t="str">
        <f>UPPER(TEXT('base-pms_spbrasil'!E683,"MMMM"))</f>
        <v>OUTUBRO</v>
      </c>
    </row>
    <row r="684" spans="1:4" x14ac:dyDescent="0.25">
      <c r="A684" s="1">
        <v>45231</v>
      </c>
      <c r="B684">
        <f>YEAR('base-pms_spbrasil'!E684)</f>
        <v>2023</v>
      </c>
      <c r="C684">
        <f>MONTH('base-pms_spbrasil'!E684)</f>
        <v>11</v>
      </c>
      <c r="D684" s="3" t="str">
        <f>UPPER(TEXT('base-pms_spbrasil'!E684,"MMMM"))</f>
        <v>NOVEMBRO</v>
      </c>
    </row>
    <row r="685" spans="1:4" x14ac:dyDescent="0.25">
      <c r="A685" s="1">
        <v>45261</v>
      </c>
      <c r="B685">
        <f>YEAR('base-pms_spbrasil'!E685)</f>
        <v>2023</v>
      </c>
      <c r="C685">
        <f>MONTH('base-pms_spbrasil'!E685)</f>
        <v>12</v>
      </c>
      <c r="D685" s="3" t="str">
        <f>UPPER(TEXT('base-pms_spbrasil'!E685,"MMMM"))</f>
        <v>DEZEMBRO</v>
      </c>
    </row>
    <row r="686" spans="1:4" x14ac:dyDescent="0.25">
      <c r="A686" s="1">
        <v>45292</v>
      </c>
      <c r="B686">
        <f>YEAR('base-pms_spbrasil'!E686)</f>
        <v>2024</v>
      </c>
      <c r="C686">
        <f>MONTH('base-pms_spbrasil'!E686)</f>
        <v>1</v>
      </c>
      <c r="D686" s="3" t="str">
        <f>UPPER(TEXT('base-pms_spbrasil'!E686,"MMMM"))</f>
        <v>JANEIRO</v>
      </c>
    </row>
    <row r="687" spans="1:4" x14ac:dyDescent="0.25">
      <c r="A687" s="1">
        <v>45323</v>
      </c>
      <c r="B687">
        <f>YEAR('base-pms_spbrasil'!E687)</f>
        <v>2024</v>
      </c>
      <c r="C687">
        <f>MONTH('base-pms_spbrasil'!E687)</f>
        <v>2</v>
      </c>
      <c r="D687" s="3" t="str">
        <f>UPPER(TEXT('base-pms_spbrasil'!E687,"MMMM"))</f>
        <v>FEVEREIRO</v>
      </c>
    </row>
    <row r="688" spans="1:4" x14ac:dyDescent="0.25">
      <c r="A688" s="1">
        <v>45352</v>
      </c>
      <c r="B688">
        <f>YEAR('base-pms_spbrasil'!E688)</f>
        <v>2024</v>
      </c>
      <c r="C688">
        <f>MONTH('base-pms_spbrasil'!E688)</f>
        <v>3</v>
      </c>
      <c r="D688" s="3" t="str">
        <f>UPPER(TEXT('base-pms_spbrasil'!E688,"MMMM"))</f>
        <v>MARÇO</v>
      </c>
    </row>
    <row r="689" spans="1:4" x14ac:dyDescent="0.25">
      <c r="A689" s="1">
        <v>45383</v>
      </c>
      <c r="B689">
        <f>YEAR('base-pms_spbrasil'!E689)</f>
        <v>2024</v>
      </c>
      <c r="C689">
        <f>MONTH('base-pms_spbrasil'!E689)</f>
        <v>4</v>
      </c>
      <c r="D689" s="3" t="str">
        <f>UPPER(TEXT('base-pms_spbrasil'!E689,"MMMM"))</f>
        <v>ABRIL</v>
      </c>
    </row>
    <row r="690" spans="1:4" x14ac:dyDescent="0.25">
      <c r="A690" s="1">
        <v>45413</v>
      </c>
      <c r="B690">
        <f>YEAR('base-pms_spbrasil'!E690)</f>
        <v>2024</v>
      </c>
      <c r="C690">
        <f>MONTH('base-pms_spbrasil'!E690)</f>
        <v>5</v>
      </c>
      <c r="D690" s="3" t="str">
        <f>UPPER(TEXT('base-pms_spbrasil'!E690,"MMMM"))</f>
        <v>MAIO</v>
      </c>
    </row>
    <row r="691" spans="1:4" x14ac:dyDescent="0.25">
      <c r="A691" s="1">
        <v>45444</v>
      </c>
      <c r="B691">
        <f>YEAR('base-pms_spbrasil'!E691)</f>
        <v>2024</v>
      </c>
      <c r="C691">
        <f>MONTH('base-pms_spbrasil'!E691)</f>
        <v>6</v>
      </c>
      <c r="D691" s="3" t="str">
        <f>UPPER(TEXT('base-pms_spbrasil'!E691,"MMMM"))</f>
        <v>JUNHO</v>
      </c>
    </row>
    <row r="692" spans="1:4" x14ac:dyDescent="0.25">
      <c r="A692" s="1">
        <v>45474</v>
      </c>
      <c r="B692">
        <f>YEAR('base-pms_spbrasil'!E692)</f>
        <v>2024</v>
      </c>
      <c r="C692">
        <f>MONTH('base-pms_spbrasil'!E692)</f>
        <v>7</v>
      </c>
      <c r="D692" s="3" t="str">
        <f>UPPER(TEXT('base-pms_spbrasil'!E692,"MMMM"))</f>
        <v>JULHO</v>
      </c>
    </row>
    <row r="693" spans="1:4" x14ac:dyDescent="0.25">
      <c r="A693" s="1">
        <v>45505</v>
      </c>
      <c r="B693">
        <f>YEAR('base-pms_spbrasil'!E693)</f>
        <v>2024</v>
      </c>
      <c r="C693">
        <f>MONTH('base-pms_spbrasil'!E693)</f>
        <v>8</v>
      </c>
      <c r="D693" s="3" t="str">
        <f>UPPER(TEXT('base-pms_spbrasil'!E693,"MMMM"))</f>
        <v>AGOSTO</v>
      </c>
    </row>
    <row r="694" spans="1:4" x14ac:dyDescent="0.25">
      <c r="A694" s="1">
        <v>45536</v>
      </c>
      <c r="B694">
        <f>YEAR('base-pms_spbrasil'!E694)</f>
        <v>2024</v>
      </c>
      <c r="C694">
        <f>MONTH('base-pms_spbrasil'!E694)</f>
        <v>9</v>
      </c>
      <c r="D694" s="3" t="str">
        <f>UPPER(TEXT('base-pms_spbrasil'!E694,"MMMM"))</f>
        <v>SETEMBRO</v>
      </c>
    </row>
    <row r="695" spans="1:4" x14ac:dyDescent="0.25">
      <c r="A695" s="1">
        <v>45566</v>
      </c>
      <c r="B695">
        <f>YEAR('base-pms_spbrasil'!E695)</f>
        <v>2024</v>
      </c>
      <c r="C695">
        <f>MONTH('base-pms_spbrasil'!E695)</f>
        <v>10</v>
      </c>
      <c r="D695" s="3" t="str">
        <f>UPPER(TEXT('base-pms_spbrasil'!E695,"MMMM"))</f>
        <v>OUTUBRO</v>
      </c>
    </row>
    <row r="696" spans="1:4" x14ac:dyDescent="0.25">
      <c r="A696" s="1">
        <v>45597</v>
      </c>
      <c r="B696">
        <f>YEAR('base-pms_spbrasil'!E696)</f>
        <v>2024</v>
      </c>
      <c r="C696">
        <f>MONTH('base-pms_spbrasil'!E696)</f>
        <v>11</v>
      </c>
      <c r="D696" s="3" t="str">
        <f>UPPER(TEXT('base-pms_spbrasil'!E696,"MMMM"))</f>
        <v>NOVEMBRO</v>
      </c>
    </row>
    <row r="697" spans="1:4" x14ac:dyDescent="0.25">
      <c r="A697" s="1">
        <v>45627</v>
      </c>
      <c r="B697">
        <f>YEAR('base-pms_spbrasil'!E697)</f>
        <v>2024</v>
      </c>
      <c r="C697">
        <f>MONTH('base-pms_spbrasil'!E697)</f>
        <v>12</v>
      </c>
      <c r="D697" s="3" t="str">
        <f>UPPER(TEXT('base-pms_spbrasil'!E697,"MMMM"))</f>
        <v>DEZEMBRO</v>
      </c>
    </row>
    <row r="698" spans="1:4" x14ac:dyDescent="0.25">
      <c r="A698" s="1">
        <v>45658</v>
      </c>
      <c r="B698">
        <f>YEAR('base-pms_spbrasil'!E698)</f>
        <v>2025</v>
      </c>
      <c r="C698">
        <f>MONTH('base-pms_spbrasil'!E698)</f>
        <v>1</v>
      </c>
      <c r="D698" s="3" t="str">
        <f>UPPER(TEXT('base-pms_spbrasil'!E698,"MMMM"))</f>
        <v>JANEIRO</v>
      </c>
    </row>
    <row r="699" spans="1:4" x14ac:dyDescent="0.25">
      <c r="A699" s="1">
        <v>45689</v>
      </c>
      <c r="B699">
        <f>YEAR('base-pms_spbrasil'!E699)</f>
        <v>2025</v>
      </c>
      <c r="C699">
        <f>MONTH('base-pms_spbrasil'!E699)</f>
        <v>2</v>
      </c>
      <c r="D699" s="3" t="str">
        <f>UPPER(TEXT('base-pms_spbrasil'!E699,"MMMM"))</f>
        <v>FEVEREIRO</v>
      </c>
    </row>
    <row r="700" spans="1:4" x14ac:dyDescent="0.25">
      <c r="A700" s="1">
        <v>45717</v>
      </c>
      <c r="B700">
        <f>YEAR('base-pms_spbrasil'!E700)</f>
        <v>2025</v>
      </c>
      <c r="C700">
        <f>MONTH('base-pms_spbrasil'!E700)</f>
        <v>3</v>
      </c>
      <c r="D700" s="3" t="str">
        <f>UPPER(TEXT('base-pms_spbrasil'!E700,"MMMM"))</f>
        <v>MARÇO</v>
      </c>
    </row>
    <row r="701" spans="1:4" x14ac:dyDescent="0.25">
      <c r="A701" s="1">
        <v>45748</v>
      </c>
      <c r="B701">
        <f>YEAR('base-pms_spbrasil'!E701)</f>
        <v>2025</v>
      </c>
      <c r="C701">
        <f>MONTH('base-pms_spbrasil'!E701)</f>
        <v>4</v>
      </c>
      <c r="D701" s="3" t="str">
        <f>UPPER(TEXT('base-pms_spbrasil'!E701,"MMMM"))</f>
        <v>ABRIL</v>
      </c>
    </row>
    <row r="702" spans="1:4" x14ac:dyDescent="0.25">
      <c r="A702" s="1">
        <v>45778</v>
      </c>
      <c r="B702">
        <f>YEAR('base-pms_spbrasil'!E702)</f>
        <v>2025</v>
      </c>
      <c r="C702">
        <f>MONTH('base-pms_spbrasil'!E702)</f>
        <v>5</v>
      </c>
      <c r="D702" s="3" t="str">
        <f>UPPER(TEXT('base-pms_spbrasil'!E702,"MMMM"))</f>
        <v>MAIO</v>
      </c>
    </row>
    <row r="703" spans="1:4" x14ac:dyDescent="0.25">
      <c r="A703" s="1">
        <v>45809</v>
      </c>
      <c r="B703">
        <f>YEAR('base-pms_spbrasil'!E703)</f>
        <v>2025</v>
      </c>
      <c r="C703">
        <f>MONTH('base-pms_spbrasil'!E703)</f>
        <v>6</v>
      </c>
      <c r="D703" s="3" t="str">
        <f>UPPER(TEXT('base-pms_spbrasil'!E703,"MMMM"))</f>
        <v>JUNHO</v>
      </c>
    </row>
    <row r="704" spans="1:4" x14ac:dyDescent="0.25">
      <c r="A704" s="1">
        <v>45839</v>
      </c>
      <c r="B704">
        <f>YEAR('base-pms_spbrasil'!E704)</f>
        <v>2025</v>
      </c>
      <c r="C704">
        <f>MONTH('base-pms_spbrasil'!E704)</f>
        <v>7</v>
      </c>
      <c r="D704" s="3" t="str">
        <f>UPPER(TEXT('base-pms_spbrasil'!E704,"MMMM"))</f>
        <v>JULHO</v>
      </c>
    </row>
    <row r="705" spans="1:4" x14ac:dyDescent="0.25">
      <c r="A705" s="1">
        <v>45870</v>
      </c>
      <c r="B705">
        <f>YEAR('base-pms_spbrasil'!E705)</f>
        <v>2025</v>
      </c>
      <c r="C705">
        <f>MONTH('base-pms_spbrasil'!E705)</f>
        <v>8</v>
      </c>
      <c r="D705" s="3" t="str">
        <f>UPPER(TEXT('base-pms_spbrasil'!E705,"MMMM"))</f>
        <v>AGOSTO</v>
      </c>
    </row>
    <row r="706" spans="1:4" x14ac:dyDescent="0.25">
      <c r="A706" s="1">
        <v>40544</v>
      </c>
      <c r="B706">
        <f>YEAR('base-pms_spbrasil'!E706)</f>
        <v>2011</v>
      </c>
      <c r="C706">
        <f>MONTH('base-pms_spbrasil'!E706)</f>
        <v>1</v>
      </c>
      <c r="D706" s="3" t="str">
        <f>UPPER(TEXT('base-pms_spbrasil'!E706,"MMMM"))</f>
        <v>JANEIRO</v>
      </c>
    </row>
    <row r="707" spans="1:4" x14ac:dyDescent="0.25">
      <c r="A707" s="1">
        <v>40575</v>
      </c>
      <c r="B707">
        <f>YEAR('base-pms_spbrasil'!E707)</f>
        <v>2011</v>
      </c>
      <c r="C707">
        <f>MONTH('base-pms_spbrasil'!E707)</f>
        <v>2</v>
      </c>
      <c r="D707" s="3" t="str">
        <f>UPPER(TEXT('base-pms_spbrasil'!E707,"MMMM"))</f>
        <v>FEVEREIRO</v>
      </c>
    </row>
    <row r="708" spans="1:4" x14ac:dyDescent="0.25">
      <c r="A708" s="1">
        <v>40603</v>
      </c>
      <c r="B708">
        <f>YEAR('base-pms_spbrasil'!E708)</f>
        <v>2011</v>
      </c>
      <c r="C708">
        <f>MONTH('base-pms_spbrasil'!E708)</f>
        <v>3</v>
      </c>
      <c r="D708" s="3" t="str">
        <f>UPPER(TEXT('base-pms_spbrasil'!E708,"MMMM"))</f>
        <v>MARÇO</v>
      </c>
    </row>
    <row r="709" spans="1:4" x14ac:dyDescent="0.25">
      <c r="A709" s="1">
        <v>40634</v>
      </c>
      <c r="B709">
        <f>YEAR('base-pms_spbrasil'!E709)</f>
        <v>2011</v>
      </c>
      <c r="C709">
        <f>MONTH('base-pms_spbrasil'!E709)</f>
        <v>4</v>
      </c>
      <c r="D709" s="3" t="str">
        <f>UPPER(TEXT('base-pms_spbrasil'!E709,"MMMM"))</f>
        <v>ABRIL</v>
      </c>
    </row>
    <row r="710" spans="1:4" x14ac:dyDescent="0.25">
      <c r="A710" s="1">
        <v>40664</v>
      </c>
      <c r="B710">
        <f>YEAR('base-pms_spbrasil'!E710)</f>
        <v>2011</v>
      </c>
      <c r="C710">
        <f>MONTH('base-pms_spbrasil'!E710)</f>
        <v>5</v>
      </c>
      <c r="D710" s="3" t="str">
        <f>UPPER(TEXT('base-pms_spbrasil'!E710,"MMMM"))</f>
        <v>MAIO</v>
      </c>
    </row>
    <row r="711" spans="1:4" x14ac:dyDescent="0.25">
      <c r="A711" s="1">
        <v>40695</v>
      </c>
      <c r="B711">
        <f>YEAR('base-pms_spbrasil'!E711)</f>
        <v>2011</v>
      </c>
      <c r="C711">
        <f>MONTH('base-pms_spbrasil'!E711)</f>
        <v>6</v>
      </c>
      <c r="D711" s="3" t="str">
        <f>UPPER(TEXT('base-pms_spbrasil'!E711,"MMMM"))</f>
        <v>JUNHO</v>
      </c>
    </row>
    <row r="712" spans="1:4" x14ac:dyDescent="0.25">
      <c r="A712" s="1">
        <v>40725</v>
      </c>
      <c r="B712">
        <f>YEAR('base-pms_spbrasil'!E712)</f>
        <v>2011</v>
      </c>
      <c r="C712">
        <f>MONTH('base-pms_spbrasil'!E712)</f>
        <v>7</v>
      </c>
      <c r="D712" s="3" t="str">
        <f>UPPER(TEXT('base-pms_spbrasil'!E712,"MMMM"))</f>
        <v>JULHO</v>
      </c>
    </row>
    <row r="713" spans="1:4" x14ac:dyDescent="0.25">
      <c r="A713" s="1">
        <v>40756</v>
      </c>
      <c r="B713">
        <f>YEAR('base-pms_spbrasil'!E713)</f>
        <v>2011</v>
      </c>
      <c r="C713">
        <f>MONTH('base-pms_spbrasil'!E713)</f>
        <v>8</v>
      </c>
      <c r="D713" s="3" t="str">
        <f>UPPER(TEXT('base-pms_spbrasil'!E713,"MMMM"))</f>
        <v>AGOSTO</v>
      </c>
    </row>
    <row r="714" spans="1:4" x14ac:dyDescent="0.25">
      <c r="A714" s="1">
        <v>40787</v>
      </c>
      <c r="B714">
        <f>YEAR('base-pms_spbrasil'!E714)</f>
        <v>2011</v>
      </c>
      <c r="C714">
        <f>MONTH('base-pms_spbrasil'!E714)</f>
        <v>9</v>
      </c>
      <c r="D714" s="3" t="str">
        <f>UPPER(TEXT('base-pms_spbrasil'!E714,"MMMM"))</f>
        <v>SETEMBRO</v>
      </c>
    </row>
    <row r="715" spans="1:4" x14ac:dyDescent="0.25">
      <c r="A715" s="1">
        <v>40817</v>
      </c>
      <c r="B715">
        <f>YEAR('base-pms_spbrasil'!E715)</f>
        <v>2011</v>
      </c>
      <c r="C715">
        <f>MONTH('base-pms_spbrasil'!E715)</f>
        <v>10</v>
      </c>
      <c r="D715" s="3" t="str">
        <f>UPPER(TEXT('base-pms_spbrasil'!E715,"MMMM"))</f>
        <v>OUTUBRO</v>
      </c>
    </row>
    <row r="716" spans="1:4" x14ac:dyDescent="0.25">
      <c r="A716" s="1">
        <v>40848</v>
      </c>
      <c r="B716">
        <f>YEAR('base-pms_spbrasil'!E716)</f>
        <v>2011</v>
      </c>
      <c r="C716">
        <f>MONTH('base-pms_spbrasil'!E716)</f>
        <v>11</v>
      </c>
      <c r="D716" s="3" t="str">
        <f>UPPER(TEXT('base-pms_spbrasil'!E716,"MMMM"))</f>
        <v>NOVEMBRO</v>
      </c>
    </row>
    <row r="717" spans="1:4" x14ac:dyDescent="0.25">
      <c r="A717" s="1">
        <v>40878</v>
      </c>
      <c r="B717">
        <f>YEAR('base-pms_spbrasil'!E717)</f>
        <v>2011</v>
      </c>
      <c r="C717">
        <f>MONTH('base-pms_spbrasil'!E717)</f>
        <v>12</v>
      </c>
      <c r="D717" s="3" t="str">
        <f>UPPER(TEXT('base-pms_spbrasil'!E717,"MMMM"))</f>
        <v>DEZEMBRO</v>
      </c>
    </row>
    <row r="718" spans="1:4" x14ac:dyDescent="0.25">
      <c r="A718" s="1">
        <v>40909</v>
      </c>
      <c r="B718">
        <f>YEAR('base-pms_spbrasil'!E718)</f>
        <v>2012</v>
      </c>
      <c r="C718">
        <f>MONTH('base-pms_spbrasil'!E718)</f>
        <v>1</v>
      </c>
      <c r="D718" s="3" t="str">
        <f>UPPER(TEXT('base-pms_spbrasil'!E718,"MMMM"))</f>
        <v>JANEIRO</v>
      </c>
    </row>
    <row r="719" spans="1:4" x14ac:dyDescent="0.25">
      <c r="A719" s="1">
        <v>40940</v>
      </c>
      <c r="B719">
        <f>YEAR('base-pms_spbrasil'!E719)</f>
        <v>2012</v>
      </c>
      <c r="C719">
        <f>MONTH('base-pms_spbrasil'!E719)</f>
        <v>2</v>
      </c>
      <c r="D719" s="3" t="str">
        <f>UPPER(TEXT('base-pms_spbrasil'!E719,"MMMM"))</f>
        <v>FEVEREIRO</v>
      </c>
    </row>
    <row r="720" spans="1:4" x14ac:dyDescent="0.25">
      <c r="A720" s="1">
        <v>40969</v>
      </c>
      <c r="B720">
        <f>YEAR('base-pms_spbrasil'!E720)</f>
        <v>2012</v>
      </c>
      <c r="C720">
        <f>MONTH('base-pms_spbrasil'!E720)</f>
        <v>3</v>
      </c>
      <c r="D720" s="3" t="str">
        <f>UPPER(TEXT('base-pms_spbrasil'!E720,"MMMM"))</f>
        <v>MARÇO</v>
      </c>
    </row>
    <row r="721" spans="1:4" x14ac:dyDescent="0.25">
      <c r="A721" s="1">
        <v>41000</v>
      </c>
      <c r="B721">
        <f>YEAR('base-pms_spbrasil'!E721)</f>
        <v>2012</v>
      </c>
      <c r="C721">
        <f>MONTH('base-pms_spbrasil'!E721)</f>
        <v>4</v>
      </c>
      <c r="D721" s="3" t="str">
        <f>UPPER(TEXT('base-pms_spbrasil'!E721,"MMMM"))</f>
        <v>ABRIL</v>
      </c>
    </row>
    <row r="722" spans="1:4" x14ac:dyDescent="0.25">
      <c r="A722" s="1">
        <v>41030</v>
      </c>
      <c r="B722">
        <f>YEAR('base-pms_spbrasil'!E722)</f>
        <v>2012</v>
      </c>
      <c r="C722">
        <f>MONTH('base-pms_spbrasil'!E722)</f>
        <v>5</v>
      </c>
      <c r="D722" s="3" t="str">
        <f>UPPER(TEXT('base-pms_spbrasil'!E722,"MMMM"))</f>
        <v>MAIO</v>
      </c>
    </row>
    <row r="723" spans="1:4" x14ac:dyDescent="0.25">
      <c r="A723" s="1">
        <v>41061</v>
      </c>
      <c r="B723">
        <f>YEAR('base-pms_spbrasil'!E723)</f>
        <v>2012</v>
      </c>
      <c r="C723">
        <f>MONTH('base-pms_spbrasil'!E723)</f>
        <v>6</v>
      </c>
      <c r="D723" s="3" t="str">
        <f>UPPER(TEXT('base-pms_spbrasil'!E723,"MMMM"))</f>
        <v>JUNHO</v>
      </c>
    </row>
    <row r="724" spans="1:4" x14ac:dyDescent="0.25">
      <c r="A724" s="1">
        <v>41091</v>
      </c>
      <c r="B724">
        <f>YEAR('base-pms_spbrasil'!E724)</f>
        <v>2012</v>
      </c>
      <c r="C724">
        <f>MONTH('base-pms_spbrasil'!E724)</f>
        <v>7</v>
      </c>
      <c r="D724" s="3" t="str">
        <f>UPPER(TEXT('base-pms_spbrasil'!E724,"MMMM"))</f>
        <v>JULHO</v>
      </c>
    </row>
    <row r="725" spans="1:4" x14ac:dyDescent="0.25">
      <c r="A725" s="1">
        <v>41122</v>
      </c>
      <c r="B725">
        <f>YEAR('base-pms_spbrasil'!E725)</f>
        <v>2012</v>
      </c>
      <c r="C725">
        <f>MONTH('base-pms_spbrasil'!E725)</f>
        <v>8</v>
      </c>
      <c r="D725" s="3" t="str">
        <f>UPPER(TEXT('base-pms_spbrasil'!E725,"MMMM"))</f>
        <v>AGOSTO</v>
      </c>
    </row>
    <row r="726" spans="1:4" x14ac:dyDescent="0.25">
      <c r="A726" s="1">
        <v>41153</v>
      </c>
      <c r="B726">
        <f>YEAR('base-pms_spbrasil'!E726)</f>
        <v>2012</v>
      </c>
      <c r="C726">
        <f>MONTH('base-pms_spbrasil'!E726)</f>
        <v>9</v>
      </c>
      <c r="D726" s="3" t="str">
        <f>UPPER(TEXT('base-pms_spbrasil'!E726,"MMMM"))</f>
        <v>SETEMBRO</v>
      </c>
    </row>
    <row r="727" spans="1:4" x14ac:dyDescent="0.25">
      <c r="A727" s="1">
        <v>41183</v>
      </c>
      <c r="B727">
        <f>YEAR('base-pms_spbrasil'!E727)</f>
        <v>2012</v>
      </c>
      <c r="C727">
        <f>MONTH('base-pms_spbrasil'!E727)</f>
        <v>10</v>
      </c>
      <c r="D727" s="3" t="str">
        <f>UPPER(TEXT('base-pms_spbrasil'!E727,"MMMM"))</f>
        <v>OUTUBRO</v>
      </c>
    </row>
    <row r="728" spans="1:4" x14ac:dyDescent="0.25">
      <c r="A728" s="1">
        <v>41214</v>
      </c>
      <c r="B728">
        <f>YEAR('base-pms_spbrasil'!E728)</f>
        <v>2012</v>
      </c>
      <c r="C728">
        <f>MONTH('base-pms_spbrasil'!E728)</f>
        <v>11</v>
      </c>
      <c r="D728" s="3" t="str">
        <f>UPPER(TEXT('base-pms_spbrasil'!E728,"MMMM"))</f>
        <v>NOVEMBRO</v>
      </c>
    </row>
    <row r="729" spans="1:4" x14ac:dyDescent="0.25">
      <c r="A729" s="1">
        <v>41244</v>
      </c>
      <c r="B729">
        <f>YEAR('base-pms_spbrasil'!E729)</f>
        <v>2012</v>
      </c>
      <c r="C729">
        <f>MONTH('base-pms_spbrasil'!E729)</f>
        <v>12</v>
      </c>
      <c r="D729" s="3" t="str">
        <f>UPPER(TEXT('base-pms_spbrasil'!E729,"MMMM"))</f>
        <v>DEZEMBRO</v>
      </c>
    </row>
    <row r="730" spans="1:4" x14ac:dyDescent="0.25">
      <c r="A730" s="1">
        <v>41275</v>
      </c>
      <c r="B730">
        <f>YEAR('base-pms_spbrasil'!E730)</f>
        <v>2013</v>
      </c>
      <c r="C730">
        <f>MONTH('base-pms_spbrasil'!E730)</f>
        <v>1</v>
      </c>
      <c r="D730" s="3" t="str">
        <f>UPPER(TEXT('base-pms_spbrasil'!E730,"MMMM"))</f>
        <v>JANEIRO</v>
      </c>
    </row>
    <row r="731" spans="1:4" x14ac:dyDescent="0.25">
      <c r="A731" s="1">
        <v>41306</v>
      </c>
      <c r="B731">
        <f>YEAR('base-pms_spbrasil'!E731)</f>
        <v>2013</v>
      </c>
      <c r="C731">
        <f>MONTH('base-pms_spbrasil'!E731)</f>
        <v>2</v>
      </c>
      <c r="D731" s="3" t="str">
        <f>UPPER(TEXT('base-pms_spbrasil'!E731,"MMMM"))</f>
        <v>FEVEREIRO</v>
      </c>
    </row>
    <row r="732" spans="1:4" x14ac:dyDescent="0.25">
      <c r="A732" s="1">
        <v>41334</v>
      </c>
      <c r="B732">
        <f>YEAR('base-pms_spbrasil'!E732)</f>
        <v>2013</v>
      </c>
      <c r="C732">
        <f>MONTH('base-pms_spbrasil'!E732)</f>
        <v>3</v>
      </c>
      <c r="D732" s="3" t="str">
        <f>UPPER(TEXT('base-pms_spbrasil'!E732,"MMMM"))</f>
        <v>MARÇO</v>
      </c>
    </row>
    <row r="733" spans="1:4" x14ac:dyDescent="0.25">
      <c r="A733" s="1">
        <v>41365</v>
      </c>
      <c r="B733">
        <f>YEAR('base-pms_spbrasil'!E733)</f>
        <v>2013</v>
      </c>
      <c r="C733">
        <f>MONTH('base-pms_spbrasil'!E733)</f>
        <v>4</v>
      </c>
      <c r="D733" s="3" t="str">
        <f>UPPER(TEXT('base-pms_spbrasil'!E733,"MMMM"))</f>
        <v>ABRIL</v>
      </c>
    </row>
    <row r="734" spans="1:4" x14ac:dyDescent="0.25">
      <c r="A734" s="1">
        <v>41395</v>
      </c>
      <c r="B734">
        <f>YEAR('base-pms_spbrasil'!E734)</f>
        <v>2013</v>
      </c>
      <c r="C734">
        <f>MONTH('base-pms_spbrasil'!E734)</f>
        <v>5</v>
      </c>
      <c r="D734" s="3" t="str">
        <f>UPPER(TEXT('base-pms_spbrasil'!E734,"MMMM"))</f>
        <v>MAIO</v>
      </c>
    </row>
    <row r="735" spans="1:4" x14ac:dyDescent="0.25">
      <c r="A735" s="1">
        <v>41426</v>
      </c>
      <c r="B735">
        <f>YEAR('base-pms_spbrasil'!E735)</f>
        <v>2013</v>
      </c>
      <c r="C735">
        <f>MONTH('base-pms_spbrasil'!E735)</f>
        <v>6</v>
      </c>
      <c r="D735" s="3" t="str">
        <f>UPPER(TEXT('base-pms_spbrasil'!E735,"MMMM"))</f>
        <v>JUNHO</v>
      </c>
    </row>
    <row r="736" spans="1:4" x14ac:dyDescent="0.25">
      <c r="A736" s="1">
        <v>41456</v>
      </c>
      <c r="B736">
        <f>YEAR('base-pms_spbrasil'!E736)</f>
        <v>2013</v>
      </c>
      <c r="C736">
        <f>MONTH('base-pms_spbrasil'!E736)</f>
        <v>7</v>
      </c>
      <c r="D736" s="3" t="str">
        <f>UPPER(TEXT('base-pms_spbrasil'!E736,"MMMM"))</f>
        <v>JULHO</v>
      </c>
    </row>
    <row r="737" spans="1:4" x14ac:dyDescent="0.25">
      <c r="A737" s="1">
        <v>41487</v>
      </c>
      <c r="B737">
        <f>YEAR('base-pms_spbrasil'!E737)</f>
        <v>2013</v>
      </c>
      <c r="C737">
        <f>MONTH('base-pms_spbrasil'!E737)</f>
        <v>8</v>
      </c>
      <c r="D737" s="3" t="str">
        <f>UPPER(TEXT('base-pms_spbrasil'!E737,"MMMM"))</f>
        <v>AGOSTO</v>
      </c>
    </row>
    <row r="738" spans="1:4" x14ac:dyDescent="0.25">
      <c r="A738" s="1">
        <v>41518</v>
      </c>
      <c r="B738">
        <f>YEAR('base-pms_spbrasil'!E738)</f>
        <v>2013</v>
      </c>
      <c r="C738">
        <f>MONTH('base-pms_spbrasil'!E738)</f>
        <v>9</v>
      </c>
      <c r="D738" s="3" t="str">
        <f>UPPER(TEXT('base-pms_spbrasil'!E738,"MMMM"))</f>
        <v>SETEMBRO</v>
      </c>
    </row>
    <row r="739" spans="1:4" x14ac:dyDescent="0.25">
      <c r="A739" s="1">
        <v>41548</v>
      </c>
      <c r="B739">
        <f>YEAR('base-pms_spbrasil'!E739)</f>
        <v>2013</v>
      </c>
      <c r="C739">
        <f>MONTH('base-pms_spbrasil'!E739)</f>
        <v>10</v>
      </c>
      <c r="D739" s="3" t="str">
        <f>UPPER(TEXT('base-pms_spbrasil'!E739,"MMMM"))</f>
        <v>OUTUBRO</v>
      </c>
    </row>
    <row r="740" spans="1:4" x14ac:dyDescent="0.25">
      <c r="A740" s="1">
        <v>41579</v>
      </c>
      <c r="B740">
        <f>YEAR('base-pms_spbrasil'!E740)</f>
        <v>2013</v>
      </c>
      <c r="C740">
        <f>MONTH('base-pms_spbrasil'!E740)</f>
        <v>11</v>
      </c>
      <c r="D740" s="3" t="str">
        <f>UPPER(TEXT('base-pms_spbrasil'!E740,"MMMM"))</f>
        <v>NOVEMBRO</v>
      </c>
    </row>
    <row r="741" spans="1:4" x14ac:dyDescent="0.25">
      <c r="A741" s="1">
        <v>41609</v>
      </c>
      <c r="B741">
        <f>YEAR('base-pms_spbrasil'!E741)</f>
        <v>2013</v>
      </c>
      <c r="C741">
        <f>MONTH('base-pms_spbrasil'!E741)</f>
        <v>12</v>
      </c>
      <c r="D741" s="3" t="str">
        <f>UPPER(TEXT('base-pms_spbrasil'!E741,"MMMM"))</f>
        <v>DEZEMBRO</v>
      </c>
    </row>
    <row r="742" spans="1:4" x14ac:dyDescent="0.25">
      <c r="A742" s="1">
        <v>41640</v>
      </c>
      <c r="B742">
        <f>YEAR('base-pms_spbrasil'!E742)</f>
        <v>2014</v>
      </c>
      <c r="C742">
        <f>MONTH('base-pms_spbrasil'!E742)</f>
        <v>1</v>
      </c>
      <c r="D742" s="3" t="str">
        <f>UPPER(TEXT('base-pms_spbrasil'!E742,"MMMM"))</f>
        <v>JANEIRO</v>
      </c>
    </row>
    <row r="743" spans="1:4" x14ac:dyDescent="0.25">
      <c r="A743" s="1">
        <v>41671</v>
      </c>
      <c r="B743">
        <f>YEAR('base-pms_spbrasil'!E743)</f>
        <v>2014</v>
      </c>
      <c r="C743">
        <f>MONTH('base-pms_spbrasil'!E743)</f>
        <v>2</v>
      </c>
      <c r="D743" s="3" t="str">
        <f>UPPER(TEXT('base-pms_spbrasil'!E743,"MMMM"))</f>
        <v>FEVEREIRO</v>
      </c>
    </row>
    <row r="744" spans="1:4" x14ac:dyDescent="0.25">
      <c r="A744" s="1">
        <v>41699</v>
      </c>
      <c r="B744">
        <f>YEAR('base-pms_spbrasil'!E744)</f>
        <v>2014</v>
      </c>
      <c r="C744">
        <f>MONTH('base-pms_spbrasil'!E744)</f>
        <v>3</v>
      </c>
      <c r="D744" s="3" t="str">
        <f>UPPER(TEXT('base-pms_spbrasil'!E744,"MMMM"))</f>
        <v>MARÇO</v>
      </c>
    </row>
    <row r="745" spans="1:4" x14ac:dyDescent="0.25">
      <c r="A745" s="1">
        <v>41730</v>
      </c>
      <c r="B745">
        <f>YEAR('base-pms_spbrasil'!E745)</f>
        <v>2014</v>
      </c>
      <c r="C745">
        <f>MONTH('base-pms_spbrasil'!E745)</f>
        <v>4</v>
      </c>
      <c r="D745" s="3" t="str">
        <f>UPPER(TEXT('base-pms_spbrasil'!E745,"MMMM"))</f>
        <v>ABRIL</v>
      </c>
    </row>
    <row r="746" spans="1:4" x14ac:dyDescent="0.25">
      <c r="A746" s="1">
        <v>41760</v>
      </c>
      <c r="B746">
        <f>YEAR('base-pms_spbrasil'!E746)</f>
        <v>2014</v>
      </c>
      <c r="C746">
        <f>MONTH('base-pms_spbrasil'!E746)</f>
        <v>5</v>
      </c>
      <c r="D746" s="3" t="str">
        <f>UPPER(TEXT('base-pms_spbrasil'!E746,"MMMM"))</f>
        <v>MAIO</v>
      </c>
    </row>
    <row r="747" spans="1:4" x14ac:dyDescent="0.25">
      <c r="A747" s="1">
        <v>41791</v>
      </c>
      <c r="B747">
        <f>YEAR('base-pms_spbrasil'!E747)</f>
        <v>2014</v>
      </c>
      <c r="C747">
        <f>MONTH('base-pms_spbrasil'!E747)</f>
        <v>6</v>
      </c>
      <c r="D747" s="3" t="str">
        <f>UPPER(TEXT('base-pms_spbrasil'!E747,"MMMM"))</f>
        <v>JUNHO</v>
      </c>
    </row>
    <row r="748" spans="1:4" x14ac:dyDescent="0.25">
      <c r="A748" s="1">
        <v>41821</v>
      </c>
      <c r="B748">
        <f>YEAR('base-pms_spbrasil'!E748)</f>
        <v>2014</v>
      </c>
      <c r="C748">
        <f>MONTH('base-pms_spbrasil'!E748)</f>
        <v>7</v>
      </c>
      <c r="D748" s="3" t="str">
        <f>UPPER(TEXT('base-pms_spbrasil'!E748,"MMMM"))</f>
        <v>JULHO</v>
      </c>
    </row>
    <row r="749" spans="1:4" x14ac:dyDescent="0.25">
      <c r="A749" s="1">
        <v>41852</v>
      </c>
      <c r="B749">
        <f>YEAR('base-pms_spbrasil'!E749)</f>
        <v>2014</v>
      </c>
      <c r="C749">
        <f>MONTH('base-pms_spbrasil'!E749)</f>
        <v>8</v>
      </c>
      <c r="D749" s="3" t="str">
        <f>UPPER(TEXT('base-pms_spbrasil'!E749,"MMMM"))</f>
        <v>AGOSTO</v>
      </c>
    </row>
    <row r="750" spans="1:4" x14ac:dyDescent="0.25">
      <c r="A750" s="1">
        <v>41883</v>
      </c>
      <c r="B750">
        <f>YEAR('base-pms_spbrasil'!E750)</f>
        <v>2014</v>
      </c>
      <c r="C750">
        <f>MONTH('base-pms_spbrasil'!E750)</f>
        <v>9</v>
      </c>
      <c r="D750" s="3" t="str">
        <f>UPPER(TEXT('base-pms_spbrasil'!E750,"MMMM"))</f>
        <v>SETEMBRO</v>
      </c>
    </row>
    <row r="751" spans="1:4" x14ac:dyDescent="0.25">
      <c r="A751" s="1">
        <v>41913</v>
      </c>
      <c r="B751">
        <f>YEAR('base-pms_spbrasil'!E751)</f>
        <v>2014</v>
      </c>
      <c r="C751">
        <f>MONTH('base-pms_spbrasil'!E751)</f>
        <v>10</v>
      </c>
      <c r="D751" s="3" t="str">
        <f>UPPER(TEXT('base-pms_spbrasil'!E751,"MMMM"))</f>
        <v>OUTUBRO</v>
      </c>
    </row>
    <row r="752" spans="1:4" x14ac:dyDescent="0.25">
      <c r="A752" s="1">
        <v>41944</v>
      </c>
      <c r="B752">
        <f>YEAR('base-pms_spbrasil'!E752)</f>
        <v>2014</v>
      </c>
      <c r="C752">
        <f>MONTH('base-pms_spbrasil'!E752)</f>
        <v>11</v>
      </c>
      <c r="D752" s="3" t="str">
        <f>UPPER(TEXT('base-pms_spbrasil'!E752,"MMMM"))</f>
        <v>NOVEMBRO</v>
      </c>
    </row>
    <row r="753" spans="1:4" x14ac:dyDescent="0.25">
      <c r="A753" s="1">
        <v>41974</v>
      </c>
      <c r="B753">
        <f>YEAR('base-pms_spbrasil'!E753)</f>
        <v>2014</v>
      </c>
      <c r="C753">
        <f>MONTH('base-pms_spbrasil'!E753)</f>
        <v>12</v>
      </c>
      <c r="D753" s="3" t="str">
        <f>UPPER(TEXT('base-pms_spbrasil'!E753,"MMMM"))</f>
        <v>DEZEMBRO</v>
      </c>
    </row>
    <row r="754" spans="1:4" x14ac:dyDescent="0.25">
      <c r="A754" s="1">
        <v>42005</v>
      </c>
      <c r="B754">
        <f>YEAR('base-pms_spbrasil'!E754)</f>
        <v>2015</v>
      </c>
      <c r="C754">
        <f>MONTH('base-pms_spbrasil'!E754)</f>
        <v>1</v>
      </c>
      <c r="D754" s="3" t="str">
        <f>UPPER(TEXT('base-pms_spbrasil'!E754,"MMMM"))</f>
        <v>JANEIRO</v>
      </c>
    </row>
    <row r="755" spans="1:4" x14ac:dyDescent="0.25">
      <c r="A755" s="1">
        <v>42036</v>
      </c>
      <c r="B755">
        <f>YEAR('base-pms_spbrasil'!E755)</f>
        <v>2015</v>
      </c>
      <c r="C755">
        <f>MONTH('base-pms_spbrasil'!E755)</f>
        <v>2</v>
      </c>
      <c r="D755" s="3" t="str">
        <f>UPPER(TEXT('base-pms_spbrasil'!E755,"MMMM"))</f>
        <v>FEVEREIRO</v>
      </c>
    </row>
    <row r="756" spans="1:4" x14ac:dyDescent="0.25">
      <c r="A756" s="1">
        <v>42064</v>
      </c>
      <c r="B756">
        <f>YEAR('base-pms_spbrasil'!E756)</f>
        <v>2015</v>
      </c>
      <c r="C756">
        <f>MONTH('base-pms_spbrasil'!E756)</f>
        <v>3</v>
      </c>
      <c r="D756" s="3" t="str">
        <f>UPPER(TEXT('base-pms_spbrasil'!E756,"MMMM"))</f>
        <v>MARÇO</v>
      </c>
    </row>
    <row r="757" spans="1:4" x14ac:dyDescent="0.25">
      <c r="A757" s="1">
        <v>42095</v>
      </c>
      <c r="B757">
        <f>YEAR('base-pms_spbrasil'!E757)</f>
        <v>2015</v>
      </c>
      <c r="C757">
        <f>MONTH('base-pms_spbrasil'!E757)</f>
        <v>4</v>
      </c>
      <c r="D757" s="3" t="str">
        <f>UPPER(TEXT('base-pms_spbrasil'!E757,"MMMM"))</f>
        <v>ABRIL</v>
      </c>
    </row>
    <row r="758" spans="1:4" x14ac:dyDescent="0.25">
      <c r="A758" s="1">
        <v>42125</v>
      </c>
      <c r="B758">
        <f>YEAR('base-pms_spbrasil'!E758)</f>
        <v>2015</v>
      </c>
      <c r="C758">
        <f>MONTH('base-pms_spbrasil'!E758)</f>
        <v>5</v>
      </c>
      <c r="D758" s="3" t="str">
        <f>UPPER(TEXT('base-pms_spbrasil'!E758,"MMMM"))</f>
        <v>MAIO</v>
      </c>
    </row>
    <row r="759" spans="1:4" x14ac:dyDescent="0.25">
      <c r="A759" s="1">
        <v>42156</v>
      </c>
      <c r="B759">
        <f>YEAR('base-pms_spbrasil'!E759)</f>
        <v>2015</v>
      </c>
      <c r="C759">
        <f>MONTH('base-pms_spbrasil'!E759)</f>
        <v>6</v>
      </c>
      <c r="D759" s="3" t="str">
        <f>UPPER(TEXT('base-pms_spbrasil'!E759,"MMMM"))</f>
        <v>JUNHO</v>
      </c>
    </row>
    <row r="760" spans="1:4" x14ac:dyDescent="0.25">
      <c r="A760" s="1">
        <v>42186</v>
      </c>
      <c r="B760">
        <f>YEAR('base-pms_spbrasil'!E760)</f>
        <v>2015</v>
      </c>
      <c r="C760">
        <f>MONTH('base-pms_spbrasil'!E760)</f>
        <v>7</v>
      </c>
      <c r="D760" s="3" t="str">
        <f>UPPER(TEXT('base-pms_spbrasil'!E760,"MMMM"))</f>
        <v>JULHO</v>
      </c>
    </row>
    <row r="761" spans="1:4" x14ac:dyDescent="0.25">
      <c r="A761" s="1">
        <v>42217</v>
      </c>
      <c r="B761">
        <f>YEAR('base-pms_spbrasil'!E761)</f>
        <v>2015</v>
      </c>
      <c r="C761">
        <f>MONTH('base-pms_spbrasil'!E761)</f>
        <v>8</v>
      </c>
      <c r="D761" s="3" t="str">
        <f>UPPER(TEXT('base-pms_spbrasil'!E761,"MMMM"))</f>
        <v>AGOSTO</v>
      </c>
    </row>
    <row r="762" spans="1:4" x14ac:dyDescent="0.25">
      <c r="A762" s="1">
        <v>42248</v>
      </c>
      <c r="B762">
        <f>YEAR('base-pms_spbrasil'!E762)</f>
        <v>2015</v>
      </c>
      <c r="C762">
        <f>MONTH('base-pms_spbrasil'!E762)</f>
        <v>9</v>
      </c>
      <c r="D762" s="3" t="str">
        <f>UPPER(TEXT('base-pms_spbrasil'!E762,"MMMM"))</f>
        <v>SETEMBRO</v>
      </c>
    </row>
    <row r="763" spans="1:4" x14ac:dyDescent="0.25">
      <c r="A763" s="1">
        <v>42278</v>
      </c>
      <c r="B763">
        <f>YEAR('base-pms_spbrasil'!E763)</f>
        <v>2015</v>
      </c>
      <c r="C763">
        <f>MONTH('base-pms_spbrasil'!E763)</f>
        <v>10</v>
      </c>
      <c r="D763" s="3" t="str">
        <f>UPPER(TEXT('base-pms_spbrasil'!E763,"MMMM"))</f>
        <v>OUTUBRO</v>
      </c>
    </row>
    <row r="764" spans="1:4" x14ac:dyDescent="0.25">
      <c r="A764" s="1">
        <v>42309</v>
      </c>
      <c r="B764">
        <f>YEAR('base-pms_spbrasil'!E764)</f>
        <v>2015</v>
      </c>
      <c r="C764">
        <f>MONTH('base-pms_spbrasil'!E764)</f>
        <v>11</v>
      </c>
      <c r="D764" s="3" t="str">
        <f>UPPER(TEXT('base-pms_spbrasil'!E764,"MMMM"))</f>
        <v>NOVEMBRO</v>
      </c>
    </row>
    <row r="765" spans="1:4" x14ac:dyDescent="0.25">
      <c r="A765" s="1">
        <v>42339</v>
      </c>
      <c r="B765">
        <f>YEAR('base-pms_spbrasil'!E765)</f>
        <v>2015</v>
      </c>
      <c r="C765">
        <f>MONTH('base-pms_spbrasil'!E765)</f>
        <v>12</v>
      </c>
      <c r="D765" s="3" t="str">
        <f>UPPER(TEXT('base-pms_spbrasil'!E765,"MMMM"))</f>
        <v>DEZEMBRO</v>
      </c>
    </row>
    <row r="766" spans="1:4" x14ac:dyDescent="0.25">
      <c r="A766" s="1">
        <v>42370</v>
      </c>
      <c r="B766">
        <f>YEAR('base-pms_spbrasil'!E766)</f>
        <v>2016</v>
      </c>
      <c r="C766">
        <f>MONTH('base-pms_spbrasil'!E766)</f>
        <v>1</v>
      </c>
      <c r="D766" s="3" t="str">
        <f>UPPER(TEXT('base-pms_spbrasil'!E766,"MMMM"))</f>
        <v>JANEIRO</v>
      </c>
    </row>
    <row r="767" spans="1:4" x14ac:dyDescent="0.25">
      <c r="A767" s="1">
        <v>42401</v>
      </c>
      <c r="B767">
        <f>YEAR('base-pms_spbrasil'!E767)</f>
        <v>2016</v>
      </c>
      <c r="C767">
        <f>MONTH('base-pms_spbrasil'!E767)</f>
        <v>2</v>
      </c>
      <c r="D767" s="3" t="str">
        <f>UPPER(TEXT('base-pms_spbrasil'!E767,"MMMM"))</f>
        <v>FEVEREIRO</v>
      </c>
    </row>
    <row r="768" spans="1:4" x14ac:dyDescent="0.25">
      <c r="A768" s="1">
        <v>42430</v>
      </c>
      <c r="B768">
        <f>YEAR('base-pms_spbrasil'!E768)</f>
        <v>2016</v>
      </c>
      <c r="C768">
        <f>MONTH('base-pms_spbrasil'!E768)</f>
        <v>3</v>
      </c>
      <c r="D768" s="3" t="str">
        <f>UPPER(TEXT('base-pms_spbrasil'!E768,"MMMM"))</f>
        <v>MARÇO</v>
      </c>
    </row>
    <row r="769" spans="1:4" x14ac:dyDescent="0.25">
      <c r="A769" s="1">
        <v>42461</v>
      </c>
      <c r="B769">
        <f>YEAR('base-pms_spbrasil'!E769)</f>
        <v>2016</v>
      </c>
      <c r="C769">
        <f>MONTH('base-pms_spbrasil'!E769)</f>
        <v>4</v>
      </c>
      <c r="D769" s="3" t="str">
        <f>UPPER(TEXT('base-pms_spbrasil'!E769,"MMMM"))</f>
        <v>ABRIL</v>
      </c>
    </row>
    <row r="770" spans="1:4" x14ac:dyDescent="0.25">
      <c r="A770" s="1">
        <v>42491</v>
      </c>
      <c r="B770">
        <f>YEAR('base-pms_spbrasil'!E770)</f>
        <v>2016</v>
      </c>
      <c r="C770">
        <f>MONTH('base-pms_spbrasil'!E770)</f>
        <v>5</v>
      </c>
      <c r="D770" s="3" t="str">
        <f>UPPER(TEXT('base-pms_spbrasil'!E770,"MMMM"))</f>
        <v>MAIO</v>
      </c>
    </row>
    <row r="771" spans="1:4" x14ac:dyDescent="0.25">
      <c r="A771" s="1">
        <v>42522</v>
      </c>
      <c r="B771">
        <f>YEAR('base-pms_spbrasil'!E771)</f>
        <v>2016</v>
      </c>
      <c r="C771">
        <f>MONTH('base-pms_spbrasil'!E771)</f>
        <v>6</v>
      </c>
      <c r="D771" s="3" t="str">
        <f>UPPER(TEXT('base-pms_spbrasil'!E771,"MMMM"))</f>
        <v>JUNHO</v>
      </c>
    </row>
    <row r="772" spans="1:4" x14ac:dyDescent="0.25">
      <c r="A772" s="1">
        <v>42552</v>
      </c>
      <c r="B772">
        <f>YEAR('base-pms_spbrasil'!E772)</f>
        <v>2016</v>
      </c>
      <c r="C772">
        <f>MONTH('base-pms_spbrasil'!E772)</f>
        <v>7</v>
      </c>
      <c r="D772" s="3" t="str">
        <f>UPPER(TEXT('base-pms_spbrasil'!E772,"MMMM"))</f>
        <v>JULHO</v>
      </c>
    </row>
    <row r="773" spans="1:4" x14ac:dyDescent="0.25">
      <c r="A773" s="1">
        <v>42583</v>
      </c>
      <c r="B773">
        <f>YEAR('base-pms_spbrasil'!E773)</f>
        <v>2016</v>
      </c>
      <c r="C773">
        <f>MONTH('base-pms_spbrasil'!E773)</f>
        <v>8</v>
      </c>
      <c r="D773" s="3" t="str">
        <f>UPPER(TEXT('base-pms_spbrasil'!E773,"MMMM"))</f>
        <v>AGOSTO</v>
      </c>
    </row>
    <row r="774" spans="1:4" x14ac:dyDescent="0.25">
      <c r="A774" s="1">
        <v>42614</v>
      </c>
      <c r="B774">
        <f>YEAR('base-pms_spbrasil'!E774)</f>
        <v>2016</v>
      </c>
      <c r="C774">
        <f>MONTH('base-pms_spbrasil'!E774)</f>
        <v>9</v>
      </c>
      <c r="D774" s="3" t="str">
        <f>UPPER(TEXT('base-pms_spbrasil'!E774,"MMMM"))</f>
        <v>SETEMBRO</v>
      </c>
    </row>
    <row r="775" spans="1:4" x14ac:dyDescent="0.25">
      <c r="A775" s="1">
        <v>42644</v>
      </c>
      <c r="B775">
        <f>YEAR('base-pms_spbrasil'!E775)</f>
        <v>2016</v>
      </c>
      <c r="C775">
        <f>MONTH('base-pms_spbrasil'!E775)</f>
        <v>10</v>
      </c>
      <c r="D775" s="3" t="str">
        <f>UPPER(TEXT('base-pms_spbrasil'!E775,"MMMM"))</f>
        <v>OUTUBRO</v>
      </c>
    </row>
    <row r="776" spans="1:4" x14ac:dyDescent="0.25">
      <c r="A776" s="1">
        <v>42675</v>
      </c>
      <c r="B776">
        <f>YEAR('base-pms_spbrasil'!E776)</f>
        <v>2016</v>
      </c>
      <c r="C776">
        <f>MONTH('base-pms_spbrasil'!E776)</f>
        <v>11</v>
      </c>
      <c r="D776" s="3" t="str">
        <f>UPPER(TEXT('base-pms_spbrasil'!E776,"MMMM"))</f>
        <v>NOVEMBRO</v>
      </c>
    </row>
    <row r="777" spans="1:4" x14ac:dyDescent="0.25">
      <c r="A777" s="1">
        <v>42705</v>
      </c>
      <c r="B777">
        <f>YEAR('base-pms_spbrasil'!E777)</f>
        <v>2016</v>
      </c>
      <c r="C777">
        <f>MONTH('base-pms_spbrasil'!E777)</f>
        <v>12</v>
      </c>
      <c r="D777" s="3" t="str">
        <f>UPPER(TEXT('base-pms_spbrasil'!E777,"MMMM"))</f>
        <v>DEZEMBRO</v>
      </c>
    </row>
    <row r="778" spans="1:4" x14ac:dyDescent="0.25">
      <c r="A778" s="1">
        <v>42736</v>
      </c>
      <c r="B778">
        <f>YEAR('base-pms_spbrasil'!E778)</f>
        <v>2017</v>
      </c>
      <c r="C778">
        <f>MONTH('base-pms_spbrasil'!E778)</f>
        <v>1</v>
      </c>
      <c r="D778" s="3" t="str">
        <f>UPPER(TEXT('base-pms_spbrasil'!E778,"MMMM"))</f>
        <v>JANEIRO</v>
      </c>
    </row>
    <row r="779" spans="1:4" x14ac:dyDescent="0.25">
      <c r="A779" s="1">
        <v>42767</v>
      </c>
      <c r="B779">
        <f>YEAR('base-pms_spbrasil'!E779)</f>
        <v>2017</v>
      </c>
      <c r="C779">
        <f>MONTH('base-pms_spbrasil'!E779)</f>
        <v>2</v>
      </c>
      <c r="D779" s="3" t="str">
        <f>UPPER(TEXT('base-pms_spbrasil'!E779,"MMMM"))</f>
        <v>FEVEREIRO</v>
      </c>
    </row>
    <row r="780" spans="1:4" x14ac:dyDescent="0.25">
      <c r="A780" s="1">
        <v>42795</v>
      </c>
      <c r="B780">
        <f>YEAR('base-pms_spbrasil'!E780)</f>
        <v>2017</v>
      </c>
      <c r="C780">
        <f>MONTH('base-pms_spbrasil'!E780)</f>
        <v>3</v>
      </c>
      <c r="D780" s="3" t="str">
        <f>UPPER(TEXT('base-pms_spbrasil'!E780,"MMMM"))</f>
        <v>MARÇO</v>
      </c>
    </row>
    <row r="781" spans="1:4" x14ac:dyDescent="0.25">
      <c r="A781" s="1">
        <v>42826</v>
      </c>
      <c r="B781">
        <f>YEAR('base-pms_spbrasil'!E781)</f>
        <v>2017</v>
      </c>
      <c r="C781">
        <f>MONTH('base-pms_spbrasil'!E781)</f>
        <v>4</v>
      </c>
      <c r="D781" s="3" t="str">
        <f>UPPER(TEXT('base-pms_spbrasil'!E781,"MMMM"))</f>
        <v>ABRIL</v>
      </c>
    </row>
    <row r="782" spans="1:4" x14ac:dyDescent="0.25">
      <c r="A782" s="1">
        <v>42856</v>
      </c>
      <c r="B782">
        <f>YEAR('base-pms_spbrasil'!E782)</f>
        <v>2017</v>
      </c>
      <c r="C782">
        <f>MONTH('base-pms_spbrasil'!E782)</f>
        <v>5</v>
      </c>
      <c r="D782" s="3" t="str">
        <f>UPPER(TEXT('base-pms_spbrasil'!E782,"MMMM"))</f>
        <v>MAIO</v>
      </c>
    </row>
    <row r="783" spans="1:4" x14ac:dyDescent="0.25">
      <c r="A783" s="1">
        <v>42887</v>
      </c>
      <c r="B783">
        <f>YEAR('base-pms_spbrasil'!E783)</f>
        <v>2017</v>
      </c>
      <c r="C783">
        <f>MONTH('base-pms_spbrasil'!E783)</f>
        <v>6</v>
      </c>
      <c r="D783" s="3" t="str">
        <f>UPPER(TEXT('base-pms_spbrasil'!E783,"MMMM"))</f>
        <v>JUNHO</v>
      </c>
    </row>
    <row r="784" spans="1:4" x14ac:dyDescent="0.25">
      <c r="A784" s="1">
        <v>42917</v>
      </c>
      <c r="B784">
        <f>YEAR('base-pms_spbrasil'!E784)</f>
        <v>2017</v>
      </c>
      <c r="C784">
        <f>MONTH('base-pms_spbrasil'!E784)</f>
        <v>7</v>
      </c>
      <c r="D784" s="3" t="str">
        <f>UPPER(TEXT('base-pms_spbrasil'!E784,"MMMM"))</f>
        <v>JULHO</v>
      </c>
    </row>
    <row r="785" spans="1:4" x14ac:dyDescent="0.25">
      <c r="A785" s="1">
        <v>42948</v>
      </c>
      <c r="B785">
        <f>YEAR('base-pms_spbrasil'!E785)</f>
        <v>2017</v>
      </c>
      <c r="C785">
        <f>MONTH('base-pms_spbrasil'!E785)</f>
        <v>8</v>
      </c>
      <c r="D785" s="3" t="str">
        <f>UPPER(TEXT('base-pms_spbrasil'!E785,"MMMM"))</f>
        <v>AGOSTO</v>
      </c>
    </row>
    <row r="786" spans="1:4" x14ac:dyDescent="0.25">
      <c r="A786" s="1">
        <v>42979</v>
      </c>
      <c r="B786">
        <f>YEAR('base-pms_spbrasil'!E786)</f>
        <v>2017</v>
      </c>
      <c r="C786">
        <f>MONTH('base-pms_spbrasil'!E786)</f>
        <v>9</v>
      </c>
      <c r="D786" s="3" t="str">
        <f>UPPER(TEXT('base-pms_spbrasil'!E786,"MMMM"))</f>
        <v>SETEMBRO</v>
      </c>
    </row>
    <row r="787" spans="1:4" x14ac:dyDescent="0.25">
      <c r="A787" s="1">
        <v>43009</v>
      </c>
      <c r="B787">
        <f>YEAR('base-pms_spbrasil'!E787)</f>
        <v>2017</v>
      </c>
      <c r="C787">
        <f>MONTH('base-pms_spbrasil'!E787)</f>
        <v>10</v>
      </c>
      <c r="D787" s="3" t="str">
        <f>UPPER(TEXT('base-pms_spbrasil'!E787,"MMMM"))</f>
        <v>OUTUBRO</v>
      </c>
    </row>
    <row r="788" spans="1:4" x14ac:dyDescent="0.25">
      <c r="A788" s="1">
        <v>43040</v>
      </c>
      <c r="B788">
        <f>YEAR('base-pms_spbrasil'!E788)</f>
        <v>2017</v>
      </c>
      <c r="C788">
        <f>MONTH('base-pms_spbrasil'!E788)</f>
        <v>11</v>
      </c>
      <c r="D788" s="3" t="str">
        <f>UPPER(TEXT('base-pms_spbrasil'!E788,"MMMM"))</f>
        <v>NOVEMBRO</v>
      </c>
    </row>
    <row r="789" spans="1:4" x14ac:dyDescent="0.25">
      <c r="A789" s="1">
        <v>43070</v>
      </c>
      <c r="B789">
        <f>YEAR('base-pms_spbrasil'!E789)</f>
        <v>2017</v>
      </c>
      <c r="C789">
        <f>MONTH('base-pms_spbrasil'!E789)</f>
        <v>12</v>
      </c>
      <c r="D789" s="3" t="str">
        <f>UPPER(TEXT('base-pms_spbrasil'!E789,"MMMM"))</f>
        <v>DEZEMBRO</v>
      </c>
    </row>
    <row r="790" spans="1:4" x14ac:dyDescent="0.25">
      <c r="A790" s="1">
        <v>43101</v>
      </c>
      <c r="B790">
        <f>YEAR('base-pms_spbrasil'!E790)</f>
        <v>2018</v>
      </c>
      <c r="C790">
        <f>MONTH('base-pms_spbrasil'!E790)</f>
        <v>1</v>
      </c>
      <c r="D790" s="3" t="str">
        <f>UPPER(TEXT('base-pms_spbrasil'!E790,"MMMM"))</f>
        <v>JANEIRO</v>
      </c>
    </row>
    <row r="791" spans="1:4" x14ac:dyDescent="0.25">
      <c r="A791" s="1">
        <v>43132</v>
      </c>
      <c r="B791">
        <f>YEAR('base-pms_spbrasil'!E791)</f>
        <v>2018</v>
      </c>
      <c r="C791">
        <f>MONTH('base-pms_spbrasil'!E791)</f>
        <v>2</v>
      </c>
      <c r="D791" s="3" t="str">
        <f>UPPER(TEXT('base-pms_spbrasil'!E791,"MMMM"))</f>
        <v>FEVEREIRO</v>
      </c>
    </row>
    <row r="792" spans="1:4" x14ac:dyDescent="0.25">
      <c r="A792" s="1">
        <v>43160</v>
      </c>
      <c r="B792">
        <f>YEAR('base-pms_spbrasil'!E792)</f>
        <v>2018</v>
      </c>
      <c r="C792">
        <f>MONTH('base-pms_spbrasil'!E792)</f>
        <v>3</v>
      </c>
      <c r="D792" s="3" t="str">
        <f>UPPER(TEXT('base-pms_spbrasil'!E792,"MMMM"))</f>
        <v>MARÇO</v>
      </c>
    </row>
    <row r="793" spans="1:4" x14ac:dyDescent="0.25">
      <c r="A793" s="1">
        <v>43191</v>
      </c>
      <c r="B793">
        <f>YEAR('base-pms_spbrasil'!E793)</f>
        <v>2018</v>
      </c>
      <c r="C793">
        <f>MONTH('base-pms_spbrasil'!E793)</f>
        <v>4</v>
      </c>
      <c r="D793" s="3" t="str">
        <f>UPPER(TEXT('base-pms_spbrasil'!E793,"MMMM"))</f>
        <v>ABRIL</v>
      </c>
    </row>
    <row r="794" spans="1:4" x14ac:dyDescent="0.25">
      <c r="A794" s="1">
        <v>43221</v>
      </c>
      <c r="B794">
        <f>YEAR('base-pms_spbrasil'!E794)</f>
        <v>2018</v>
      </c>
      <c r="C794">
        <f>MONTH('base-pms_spbrasil'!E794)</f>
        <v>5</v>
      </c>
      <c r="D794" s="3" t="str">
        <f>UPPER(TEXT('base-pms_spbrasil'!E794,"MMMM"))</f>
        <v>MAIO</v>
      </c>
    </row>
    <row r="795" spans="1:4" x14ac:dyDescent="0.25">
      <c r="A795" s="1">
        <v>43252</v>
      </c>
      <c r="B795">
        <f>YEAR('base-pms_spbrasil'!E795)</f>
        <v>2018</v>
      </c>
      <c r="C795">
        <f>MONTH('base-pms_spbrasil'!E795)</f>
        <v>6</v>
      </c>
      <c r="D795" s="3" t="str">
        <f>UPPER(TEXT('base-pms_spbrasil'!E795,"MMMM"))</f>
        <v>JUNHO</v>
      </c>
    </row>
    <row r="796" spans="1:4" x14ac:dyDescent="0.25">
      <c r="A796" s="1">
        <v>43282</v>
      </c>
      <c r="B796">
        <f>YEAR('base-pms_spbrasil'!E796)</f>
        <v>2018</v>
      </c>
      <c r="C796">
        <f>MONTH('base-pms_spbrasil'!E796)</f>
        <v>7</v>
      </c>
      <c r="D796" s="3" t="str">
        <f>UPPER(TEXT('base-pms_spbrasil'!E796,"MMMM"))</f>
        <v>JULHO</v>
      </c>
    </row>
    <row r="797" spans="1:4" x14ac:dyDescent="0.25">
      <c r="A797" s="1">
        <v>43313</v>
      </c>
      <c r="B797">
        <f>YEAR('base-pms_spbrasil'!E797)</f>
        <v>2018</v>
      </c>
      <c r="C797">
        <f>MONTH('base-pms_spbrasil'!E797)</f>
        <v>8</v>
      </c>
      <c r="D797" s="3" t="str">
        <f>UPPER(TEXT('base-pms_spbrasil'!E797,"MMMM"))</f>
        <v>AGOSTO</v>
      </c>
    </row>
    <row r="798" spans="1:4" x14ac:dyDescent="0.25">
      <c r="A798" s="1">
        <v>43344</v>
      </c>
      <c r="B798">
        <f>YEAR('base-pms_spbrasil'!E798)</f>
        <v>2018</v>
      </c>
      <c r="C798">
        <f>MONTH('base-pms_spbrasil'!E798)</f>
        <v>9</v>
      </c>
      <c r="D798" s="3" t="str">
        <f>UPPER(TEXT('base-pms_spbrasil'!E798,"MMMM"))</f>
        <v>SETEMBRO</v>
      </c>
    </row>
    <row r="799" spans="1:4" x14ac:dyDescent="0.25">
      <c r="A799" s="1">
        <v>43374</v>
      </c>
      <c r="B799">
        <f>YEAR('base-pms_spbrasil'!E799)</f>
        <v>2018</v>
      </c>
      <c r="C799">
        <f>MONTH('base-pms_spbrasil'!E799)</f>
        <v>10</v>
      </c>
      <c r="D799" s="3" t="str">
        <f>UPPER(TEXT('base-pms_spbrasil'!E799,"MMMM"))</f>
        <v>OUTUBRO</v>
      </c>
    </row>
    <row r="800" spans="1:4" x14ac:dyDescent="0.25">
      <c r="A800" s="1">
        <v>43405</v>
      </c>
      <c r="B800">
        <f>YEAR('base-pms_spbrasil'!E800)</f>
        <v>2018</v>
      </c>
      <c r="C800">
        <f>MONTH('base-pms_spbrasil'!E800)</f>
        <v>11</v>
      </c>
      <c r="D800" s="3" t="str">
        <f>UPPER(TEXT('base-pms_spbrasil'!E800,"MMMM"))</f>
        <v>NOVEMBRO</v>
      </c>
    </row>
    <row r="801" spans="1:4" x14ac:dyDescent="0.25">
      <c r="A801" s="1">
        <v>43435</v>
      </c>
      <c r="B801">
        <f>YEAR('base-pms_spbrasil'!E801)</f>
        <v>2018</v>
      </c>
      <c r="C801">
        <f>MONTH('base-pms_spbrasil'!E801)</f>
        <v>12</v>
      </c>
      <c r="D801" s="3" t="str">
        <f>UPPER(TEXT('base-pms_spbrasil'!E801,"MMMM"))</f>
        <v>DEZEMBRO</v>
      </c>
    </row>
    <row r="802" spans="1:4" x14ac:dyDescent="0.25">
      <c r="A802" s="1">
        <v>43466</v>
      </c>
      <c r="B802">
        <f>YEAR('base-pms_spbrasil'!E802)</f>
        <v>2019</v>
      </c>
      <c r="C802">
        <f>MONTH('base-pms_spbrasil'!E802)</f>
        <v>1</v>
      </c>
      <c r="D802" s="3" t="str">
        <f>UPPER(TEXT('base-pms_spbrasil'!E802,"MMMM"))</f>
        <v>JANEIRO</v>
      </c>
    </row>
    <row r="803" spans="1:4" x14ac:dyDescent="0.25">
      <c r="A803" s="1">
        <v>43497</v>
      </c>
      <c r="B803">
        <f>YEAR('base-pms_spbrasil'!E803)</f>
        <v>2019</v>
      </c>
      <c r="C803">
        <f>MONTH('base-pms_spbrasil'!E803)</f>
        <v>2</v>
      </c>
      <c r="D803" s="3" t="str">
        <f>UPPER(TEXT('base-pms_spbrasil'!E803,"MMMM"))</f>
        <v>FEVEREIRO</v>
      </c>
    </row>
    <row r="804" spans="1:4" x14ac:dyDescent="0.25">
      <c r="A804" s="1">
        <v>43525</v>
      </c>
      <c r="B804">
        <f>YEAR('base-pms_spbrasil'!E804)</f>
        <v>2019</v>
      </c>
      <c r="C804">
        <f>MONTH('base-pms_spbrasil'!E804)</f>
        <v>3</v>
      </c>
      <c r="D804" s="3" t="str">
        <f>UPPER(TEXT('base-pms_spbrasil'!E804,"MMMM"))</f>
        <v>MARÇO</v>
      </c>
    </row>
    <row r="805" spans="1:4" x14ac:dyDescent="0.25">
      <c r="A805" s="1">
        <v>43556</v>
      </c>
      <c r="B805">
        <f>YEAR('base-pms_spbrasil'!E805)</f>
        <v>2019</v>
      </c>
      <c r="C805">
        <f>MONTH('base-pms_spbrasil'!E805)</f>
        <v>4</v>
      </c>
      <c r="D805" s="3" t="str">
        <f>UPPER(TEXT('base-pms_spbrasil'!E805,"MMMM"))</f>
        <v>ABRIL</v>
      </c>
    </row>
    <row r="806" spans="1:4" x14ac:dyDescent="0.25">
      <c r="A806" s="1">
        <v>43586</v>
      </c>
      <c r="B806">
        <f>YEAR('base-pms_spbrasil'!E806)</f>
        <v>2019</v>
      </c>
      <c r="C806">
        <f>MONTH('base-pms_spbrasil'!E806)</f>
        <v>5</v>
      </c>
      <c r="D806" s="3" t="str">
        <f>UPPER(TEXT('base-pms_spbrasil'!E806,"MMMM"))</f>
        <v>MAIO</v>
      </c>
    </row>
    <row r="807" spans="1:4" x14ac:dyDescent="0.25">
      <c r="A807" s="1">
        <v>43617</v>
      </c>
      <c r="B807">
        <f>YEAR('base-pms_spbrasil'!E807)</f>
        <v>2019</v>
      </c>
      <c r="C807">
        <f>MONTH('base-pms_spbrasil'!E807)</f>
        <v>6</v>
      </c>
      <c r="D807" s="3" t="str">
        <f>UPPER(TEXT('base-pms_spbrasil'!E807,"MMMM"))</f>
        <v>JUNHO</v>
      </c>
    </row>
    <row r="808" spans="1:4" x14ac:dyDescent="0.25">
      <c r="A808" s="1">
        <v>43647</v>
      </c>
      <c r="B808">
        <f>YEAR('base-pms_spbrasil'!E808)</f>
        <v>2019</v>
      </c>
      <c r="C808">
        <f>MONTH('base-pms_spbrasil'!E808)</f>
        <v>7</v>
      </c>
      <c r="D808" s="3" t="str">
        <f>UPPER(TEXT('base-pms_spbrasil'!E808,"MMMM"))</f>
        <v>JULHO</v>
      </c>
    </row>
    <row r="809" spans="1:4" x14ac:dyDescent="0.25">
      <c r="A809" s="1">
        <v>43678</v>
      </c>
      <c r="B809">
        <f>YEAR('base-pms_spbrasil'!E809)</f>
        <v>2019</v>
      </c>
      <c r="C809">
        <f>MONTH('base-pms_spbrasil'!E809)</f>
        <v>8</v>
      </c>
      <c r="D809" s="3" t="str">
        <f>UPPER(TEXT('base-pms_spbrasil'!E809,"MMMM"))</f>
        <v>AGOSTO</v>
      </c>
    </row>
    <row r="810" spans="1:4" x14ac:dyDescent="0.25">
      <c r="A810" s="1">
        <v>43709</v>
      </c>
      <c r="B810">
        <f>YEAR('base-pms_spbrasil'!E810)</f>
        <v>2019</v>
      </c>
      <c r="C810">
        <f>MONTH('base-pms_spbrasil'!E810)</f>
        <v>9</v>
      </c>
      <c r="D810" s="3" t="str">
        <f>UPPER(TEXT('base-pms_spbrasil'!E810,"MMMM"))</f>
        <v>SETEMBRO</v>
      </c>
    </row>
    <row r="811" spans="1:4" x14ac:dyDescent="0.25">
      <c r="A811" s="1">
        <v>43739</v>
      </c>
      <c r="B811">
        <f>YEAR('base-pms_spbrasil'!E811)</f>
        <v>2019</v>
      </c>
      <c r="C811">
        <f>MONTH('base-pms_spbrasil'!E811)</f>
        <v>10</v>
      </c>
      <c r="D811" s="3" t="str">
        <f>UPPER(TEXT('base-pms_spbrasil'!E811,"MMMM"))</f>
        <v>OUTUBRO</v>
      </c>
    </row>
    <row r="812" spans="1:4" x14ac:dyDescent="0.25">
      <c r="A812" s="1">
        <v>43770</v>
      </c>
      <c r="B812">
        <f>YEAR('base-pms_spbrasil'!E812)</f>
        <v>2019</v>
      </c>
      <c r="C812">
        <f>MONTH('base-pms_spbrasil'!E812)</f>
        <v>11</v>
      </c>
      <c r="D812" s="3" t="str">
        <f>UPPER(TEXT('base-pms_spbrasil'!E812,"MMMM"))</f>
        <v>NOVEMBRO</v>
      </c>
    </row>
    <row r="813" spans="1:4" x14ac:dyDescent="0.25">
      <c r="A813" s="1">
        <v>43800</v>
      </c>
      <c r="B813">
        <f>YEAR('base-pms_spbrasil'!E813)</f>
        <v>2019</v>
      </c>
      <c r="C813">
        <f>MONTH('base-pms_spbrasil'!E813)</f>
        <v>12</v>
      </c>
      <c r="D813" s="3" t="str">
        <f>UPPER(TEXT('base-pms_spbrasil'!E813,"MMMM"))</f>
        <v>DEZEMBRO</v>
      </c>
    </row>
    <row r="814" spans="1:4" x14ac:dyDescent="0.25">
      <c r="A814" s="1">
        <v>43831</v>
      </c>
      <c r="B814">
        <f>YEAR('base-pms_spbrasil'!E814)</f>
        <v>2020</v>
      </c>
      <c r="C814">
        <f>MONTH('base-pms_spbrasil'!E814)</f>
        <v>1</v>
      </c>
      <c r="D814" s="3" t="str">
        <f>UPPER(TEXT('base-pms_spbrasil'!E814,"MMMM"))</f>
        <v>JANEIRO</v>
      </c>
    </row>
    <row r="815" spans="1:4" x14ac:dyDescent="0.25">
      <c r="A815" s="1">
        <v>43862</v>
      </c>
      <c r="B815">
        <f>YEAR('base-pms_spbrasil'!E815)</f>
        <v>2020</v>
      </c>
      <c r="C815">
        <f>MONTH('base-pms_spbrasil'!E815)</f>
        <v>2</v>
      </c>
      <c r="D815" s="3" t="str">
        <f>UPPER(TEXT('base-pms_spbrasil'!E815,"MMMM"))</f>
        <v>FEVEREIRO</v>
      </c>
    </row>
    <row r="816" spans="1:4" x14ac:dyDescent="0.25">
      <c r="A816" s="1">
        <v>43891</v>
      </c>
      <c r="B816">
        <f>YEAR('base-pms_spbrasil'!E816)</f>
        <v>2020</v>
      </c>
      <c r="C816">
        <f>MONTH('base-pms_spbrasil'!E816)</f>
        <v>3</v>
      </c>
      <c r="D816" s="3" t="str">
        <f>UPPER(TEXT('base-pms_spbrasil'!E816,"MMMM"))</f>
        <v>MARÇO</v>
      </c>
    </row>
    <row r="817" spans="1:4" x14ac:dyDescent="0.25">
      <c r="A817" s="1">
        <v>43922</v>
      </c>
      <c r="B817">
        <f>YEAR('base-pms_spbrasil'!E817)</f>
        <v>2020</v>
      </c>
      <c r="C817">
        <f>MONTH('base-pms_spbrasil'!E817)</f>
        <v>4</v>
      </c>
      <c r="D817" s="3" t="str">
        <f>UPPER(TEXT('base-pms_spbrasil'!E817,"MMMM"))</f>
        <v>ABRIL</v>
      </c>
    </row>
    <row r="818" spans="1:4" x14ac:dyDescent="0.25">
      <c r="A818" s="1">
        <v>43952</v>
      </c>
      <c r="B818">
        <f>YEAR('base-pms_spbrasil'!E818)</f>
        <v>2020</v>
      </c>
      <c r="C818">
        <f>MONTH('base-pms_spbrasil'!E818)</f>
        <v>5</v>
      </c>
      <c r="D818" s="3" t="str">
        <f>UPPER(TEXT('base-pms_spbrasil'!E818,"MMMM"))</f>
        <v>MAIO</v>
      </c>
    </row>
    <row r="819" spans="1:4" x14ac:dyDescent="0.25">
      <c r="A819" s="1">
        <v>43983</v>
      </c>
      <c r="B819">
        <f>YEAR('base-pms_spbrasil'!E819)</f>
        <v>2020</v>
      </c>
      <c r="C819">
        <f>MONTH('base-pms_spbrasil'!E819)</f>
        <v>6</v>
      </c>
      <c r="D819" s="3" t="str">
        <f>UPPER(TEXT('base-pms_spbrasil'!E819,"MMMM"))</f>
        <v>JUNHO</v>
      </c>
    </row>
    <row r="820" spans="1:4" x14ac:dyDescent="0.25">
      <c r="A820" s="1">
        <v>44013</v>
      </c>
      <c r="B820">
        <f>YEAR('base-pms_spbrasil'!E820)</f>
        <v>2020</v>
      </c>
      <c r="C820">
        <f>MONTH('base-pms_spbrasil'!E820)</f>
        <v>7</v>
      </c>
      <c r="D820" s="3" t="str">
        <f>UPPER(TEXT('base-pms_spbrasil'!E820,"MMMM"))</f>
        <v>JULHO</v>
      </c>
    </row>
    <row r="821" spans="1:4" x14ac:dyDescent="0.25">
      <c r="A821" s="1">
        <v>44044</v>
      </c>
      <c r="B821">
        <f>YEAR('base-pms_spbrasil'!E821)</f>
        <v>2020</v>
      </c>
      <c r="C821">
        <f>MONTH('base-pms_spbrasil'!E821)</f>
        <v>8</v>
      </c>
      <c r="D821" s="3" t="str">
        <f>UPPER(TEXT('base-pms_spbrasil'!E821,"MMMM"))</f>
        <v>AGOSTO</v>
      </c>
    </row>
    <row r="822" spans="1:4" x14ac:dyDescent="0.25">
      <c r="A822" s="1">
        <v>44075</v>
      </c>
      <c r="B822">
        <f>YEAR('base-pms_spbrasil'!E822)</f>
        <v>2020</v>
      </c>
      <c r="C822">
        <f>MONTH('base-pms_spbrasil'!E822)</f>
        <v>9</v>
      </c>
      <c r="D822" s="3" t="str">
        <f>UPPER(TEXT('base-pms_spbrasil'!E822,"MMMM"))</f>
        <v>SETEMBRO</v>
      </c>
    </row>
    <row r="823" spans="1:4" x14ac:dyDescent="0.25">
      <c r="A823" s="1">
        <v>44105</v>
      </c>
      <c r="B823">
        <f>YEAR('base-pms_spbrasil'!E823)</f>
        <v>2020</v>
      </c>
      <c r="C823">
        <f>MONTH('base-pms_spbrasil'!E823)</f>
        <v>10</v>
      </c>
      <c r="D823" s="3" t="str">
        <f>UPPER(TEXT('base-pms_spbrasil'!E823,"MMMM"))</f>
        <v>OUTUBRO</v>
      </c>
    </row>
    <row r="824" spans="1:4" x14ac:dyDescent="0.25">
      <c r="A824" s="1">
        <v>44136</v>
      </c>
      <c r="B824">
        <f>YEAR('base-pms_spbrasil'!E824)</f>
        <v>2020</v>
      </c>
      <c r="C824">
        <f>MONTH('base-pms_spbrasil'!E824)</f>
        <v>11</v>
      </c>
      <c r="D824" s="3" t="str">
        <f>UPPER(TEXT('base-pms_spbrasil'!E824,"MMMM"))</f>
        <v>NOVEMBRO</v>
      </c>
    </row>
    <row r="825" spans="1:4" x14ac:dyDescent="0.25">
      <c r="A825" s="1">
        <v>44166</v>
      </c>
      <c r="B825">
        <f>YEAR('base-pms_spbrasil'!E825)</f>
        <v>2020</v>
      </c>
      <c r="C825">
        <f>MONTH('base-pms_spbrasil'!E825)</f>
        <v>12</v>
      </c>
      <c r="D825" s="3" t="str">
        <f>UPPER(TEXT('base-pms_spbrasil'!E825,"MMMM"))</f>
        <v>DEZEMBRO</v>
      </c>
    </row>
    <row r="826" spans="1:4" x14ac:dyDescent="0.25">
      <c r="A826" s="1">
        <v>44197</v>
      </c>
      <c r="B826">
        <f>YEAR('base-pms_spbrasil'!E826)</f>
        <v>2021</v>
      </c>
      <c r="C826">
        <f>MONTH('base-pms_spbrasil'!E826)</f>
        <v>1</v>
      </c>
      <c r="D826" s="3" t="str">
        <f>UPPER(TEXT('base-pms_spbrasil'!E826,"MMMM"))</f>
        <v>JANEIRO</v>
      </c>
    </row>
    <row r="827" spans="1:4" x14ac:dyDescent="0.25">
      <c r="A827" s="1">
        <v>44228</v>
      </c>
      <c r="B827">
        <f>YEAR('base-pms_spbrasil'!E827)</f>
        <v>2021</v>
      </c>
      <c r="C827">
        <f>MONTH('base-pms_spbrasil'!E827)</f>
        <v>2</v>
      </c>
      <c r="D827" s="3" t="str">
        <f>UPPER(TEXT('base-pms_spbrasil'!E827,"MMMM"))</f>
        <v>FEVEREIRO</v>
      </c>
    </row>
    <row r="828" spans="1:4" x14ac:dyDescent="0.25">
      <c r="A828" s="1">
        <v>44256</v>
      </c>
      <c r="B828">
        <f>YEAR('base-pms_spbrasil'!E828)</f>
        <v>2021</v>
      </c>
      <c r="C828">
        <f>MONTH('base-pms_spbrasil'!E828)</f>
        <v>3</v>
      </c>
      <c r="D828" s="3" t="str">
        <f>UPPER(TEXT('base-pms_spbrasil'!E828,"MMMM"))</f>
        <v>MARÇO</v>
      </c>
    </row>
    <row r="829" spans="1:4" x14ac:dyDescent="0.25">
      <c r="A829" s="1">
        <v>44287</v>
      </c>
      <c r="B829">
        <f>YEAR('base-pms_spbrasil'!E829)</f>
        <v>2021</v>
      </c>
      <c r="C829">
        <f>MONTH('base-pms_spbrasil'!E829)</f>
        <v>4</v>
      </c>
      <c r="D829" s="3" t="str">
        <f>UPPER(TEXT('base-pms_spbrasil'!E829,"MMMM"))</f>
        <v>ABRIL</v>
      </c>
    </row>
    <row r="830" spans="1:4" x14ac:dyDescent="0.25">
      <c r="A830" s="1">
        <v>44317</v>
      </c>
      <c r="B830">
        <f>YEAR('base-pms_spbrasil'!E830)</f>
        <v>2021</v>
      </c>
      <c r="C830">
        <f>MONTH('base-pms_spbrasil'!E830)</f>
        <v>5</v>
      </c>
      <c r="D830" s="3" t="str">
        <f>UPPER(TEXT('base-pms_spbrasil'!E830,"MMMM"))</f>
        <v>MAIO</v>
      </c>
    </row>
    <row r="831" spans="1:4" x14ac:dyDescent="0.25">
      <c r="A831" s="1">
        <v>44348</v>
      </c>
      <c r="B831">
        <f>YEAR('base-pms_spbrasil'!E831)</f>
        <v>2021</v>
      </c>
      <c r="C831">
        <f>MONTH('base-pms_spbrasil'!E831)</f>
        <v>6</v>
      </c>
      <c r="D831" s="3" t="str">
        <f>UPPER(TEXT('base-pms_spbrasil'!E831,"MMMM"))</f>
        <v>JUNHO</v>
      </c>
    </row>
    <row r="832" spans="1:4" x14ac:dyDescent="0.25">
      <c r="A832" s="1">
        <v>44378</v>
      </c>
      <c r="B832">
        <f>YEAR('base-pms_spbrasil'!E832)</f>
        <v>2021</v>
      </c>
      <c r="C832">
        <f>MONTH('base-pms_spbrasil'!E832)</f>
        <v>7</v>
      </c>
      <c r="D832" s="3" t="str">
        <f>UPPER(TEXT('base-pms_spbrasil'!E832,"MMMM"))</f>
        <v>JULHO</v>
      </c>
    </row>
    <row r="833" spans="1:4" x14ac:dyDescent="0.25">
      <c r="A833" s="1">
        <v>44409</v>
      </c>
      <c r="B833">
        <f>YEAR('base-pms_spbrasil'!E833)</f>
        <v>2021</v>
      </c>
      <c r="C833">
        <f>MONTH('base-pms_spbrasil'!E833)</f>
        <v>8</v>
      </c>
      <c r="D833" s="3" t="str">
        <f>UPPER(TEXT('base-pms_spbrasil'!E833,"MMMM"))</f>
        <v>AGOSTO</v>
      </c>
    </row>
    <row r="834" spans="1:4" x14ac:dyDescent="0.25">
      <c r="A834" s="1">
        <v>44440</v>
      </c>
      <c r="B834">
        <f>YEAR('base-pms_spbrasil'!E834)</f>
        <v>2021</v>
      </c>
      <c r="C834">
        <f>MONTH('base-pms_spbrasil'!E834)</f>
        <v>9</v>
      </c>
      <c r="D834" s="3" t="str">
        <f>UPPER(TEXT('base-pms_spbrasil'!E834,"MMMM"))</f>
        <v>SETEMBRO</v>
      </c>
    </row>
    <row r="835" spans="1:4" x14ac:dyDescent="0.25">
      <c r="A835" s="1">
        <v>44470</v>
      </c>
      <c r="B835">
        <f>YEAR('base-pms_spbrasil'!E835)</f>
        <v>2021</v>
      </c>
      <c r="C835">
        <f>MONTH('base-pms_spbrasil'!E835)</f>
        <v>10</v>
      </c>
      <c r="D835" s="3" t="str">
        <f>UPPER(TEXT('base-pms_spbrasil'!E835,"MMMM"))</f>
        <v>OUTUBRO</v>
      </c>
    </row>
    <row r="836" spans="1:4" x14ac:dyDescent="0.25">
      <c r="A836" s="1">
        <v>44501</v>
      </c>
      <c r="B836">
        <f>YEAR('base-pms_spbrasil'!E836)</f>
        <v>2021</v>
      </c>
      <c r="C836">
        <f>MONTH('base-pms_spbrasil'!E836)</f>
        <v>11</v>
      </c>
      <c r="D836" s="3" t="str">
        <f>UPPER(TEXT('base-pms_spbrasil'!E836,"MMMM"))</f>
        <v>NOVEMBRO</v>
      </c>
    </row>
    <row r="837" spans="1:4" x14ac:dyDescent="0.25">
      <c r="A837" s="1">
        <v>44531</v>
      </c>
      <c r="B837">
        <f>YEAR('base-pms_spbrasil'!E837)</f>
        <v>2021</v>
      </c>
      <c r="C837">
        <f>MONTH('base-pms_spbrasil'!E837)</f>
        <v>12</v>
      </c>
      <c r="D837" s="3" t="str">
        <f>UPPER(TEXT('base-pms_spbrasil'!E837,"MMMM"))</f>
        <v>DEZEMBRO</v>
      </c>
    </row>
    <row r="838" spans="1:4" x14ac:dyDescent="0.25">
      <c r="A838" s="1">
        <v>44562</v>
      </c>
      <c r="B838">
        <f>YEAR('base-pms_spbrasil'!E838)</f>
        <v>2022</v>
      </c>
      <c r="C838">
        <f>MONTH('base-pms_spbrasil'!E838)</f>
        <v>1</v>
      </c>
      <c r="D838" s="3" t="str">
        <f>UPPER(TEXT('base-pms_spbrasil'!E838,"MMMM"))</f>
        <v>JANEIRO</v>
      </c>
    </row>
    <row r="839" spans="1:4" x14ac:dyDescent="0.25">
      <c r="A839" s="1">
        <v>44593</v>
      </c>
      <c r="B839">
        <f>YEAR('base-pms_spbrasil'!E839)</f>
        <v>2022</v>
      </c>
      <c r="C839">
        <f>MONTH('base-pms_spbrasil'!E839)</f>
        <v>2</v>
      </c>
      <c r="D839" s="3" t="str">
        <f>UPPER(TEXT('base-pms_spbrasil'!E839,"MMMM"))</f>
        <v>FEVEREIRO</v>
      </c>
    </row>
    <row r="840" spans="1:4" x14ac:dyDescent="0.25">
      <c r="A840" s="1">
        <v>44621</v>
      </c>
      <c r="B840">
        <f>YEAR('base-pms_spbrasil'!E840)</f>
        <v>2022</v>
      </c>
      <c r="C840">
        <f>MONTH('base-pms_spbrasil'!E840)</f>
        <v>3</v>
      </c>
      <c r="D840" s="3" t="str">
        <f>UPPER(TEXT('base-pms_spbrasil'!E840,"MMMM"))</f>
        <v>MARÇO</v>
      </c>
    </row>
    <row r="841" spans="1:4" x14ac:dyDescent="0.25">
      <c r="A841" s="1">
        <v>44652</v>
      </c>
      <c r="B841">
        <f>YEAR('base-pms_spbrasil'!E841)</f>
        <v>2022</v>
      </c>
      <c r="C841">
        <f>MONTH('base-pms_spbrasil'!E841)</f>
        <v>4</v>
      </c>
      <c r="D841" s="3" t="str">
        <f>UPPER(TEXT('base-pms_spbrasil'!E841,"MMMM"))</f>
        <v>ABRIL</v>
      </c>
    </row>
    <row r="842" spans="1:4" x14ac:dyDescent="0.25">
      <c r="A842" s="1">
        <v>44682</v>
      </c>
      <c r="B842">
        <f>YEAR('base-pms_spbrasil'!E842)</f>
        <v>2022</v>
      </c>
      <c r="C842">
        <f>MONTH('base-pms_spbrasil'!E842)</f>
        <v>5</v>
      </c>
      <c r="D842" s="3" t="str">
        <f>UPPER(TEXT('base-pms_spbrasil'!E842,"MMMM"))</f>
        <v>MAIO</v>
      </c>
    </row>
    <row r="843" spans="1:4" x14ac:dyDescent="0.25">
      <c r="A843" s="1">
        <v>44713</v>
      </c>
      <c r="B843">
        <f>YEAR('base-pms_spbrasil'!E843)</f>
        <v>2022</v>
      </c>
      <c r="C843">
        <f>MONTH('base-pms_spbrasil'!E843)</f>
        <v>6</v>
      </c>
      <c r="D843" s="3" t="str">
        <f>UPPER(TEXT('base-pms_spbrasil'!E843,"MMMM"))</f>
        <v>JUNHO</v>
      </c>
    </row>
    <row r="844" spans="1:4" x14ac:dyDescent="0.25">
      <c r="A844" s="1">
        <v>44743</v>
      </c>
      <c r="B844">
        <f>YEAR('base-pms_spbrasil'!E844)</f>
        <v>2022</v>
      </c>
      <c r="C844">
        <f>MONTH('base-pms_spbrasil'!E844)</f>
        <v>7</v>
      </c>
      <c r="D844" s="3" t="str">
        <f>UPPER(TEXT('base-pms_spbrasil'!E844,"MMMM"))</f>
        <v>JULHO</v>
      </c>
    </row>
    <row r="845" spans="1:4" x14ac:dyDescent="0.25">
      <c r="A845" s="1">
        <v>44774</v>
      </c>
      <c r="B845">
        <f>YEAR('base-pms_spbrasil'!E845)</f>
        <v>2022</v>
      </c>
      <c r="C845">
        <f>MONTH('base-pms_spbrasil'!E845)</f>
        <v>8</v>
      </c>
      <c r="D845" s="3" t="str">
        <f>UPPER(TEXT('base-pms_spbrasil'!E845,"MMMM"))</f>
        <v>AGOSTO</v>
      </c>
    </row>
    <row r="846" spans="1:4" x14ac:dyDescent="0.25">
      <c r="A846" s="1">
        <v>44805</v>
      </c>
      <c r="B846">
        <f>YEAR('base-pms_spbrasil'!E846)</f>
        <v>2022</v>
      </c>
      <c r="C846">
        <f>MONTH('base-pms_spbrasil'!E846)</f>
        <v>9</v>
      </c>
      <c r="D846" s="3" t="str">
        <f>UPPER(TEXT('base-pms_spbrasil'!E846,"MMMM"))</f>
        <v>SETEMBRO</v>
      </c>
    </row>
    <row r="847" spans="1:4" x14ac:dyDescent="0.25">
      <c r="A847" s="1">
        <v>44835</v>
      </c>
      <c r="B847">
        <f>YEAR('base-pms_spbrasil'!E847)</f>
        <v>2022</v>
      </c>
      <c r="C847">
        <f>MONTH('base-pms_spbrasil'!E847)</f>
        <v>10</v>
      </c>
      <c r="D847" s="3" t="str">
        <f>UPPER(TEXT('base-pms_spbrasil'!E847,"MMMM"))</f>
        <v>OUTUBRO</v>
      </c>
    </row>
    <row r="848" spans="1:4" x14ac:dyDescent="0.25">
      <c r="A848" s="1">
        <v>44866</v>
      </c>
      <c r="B848">
        <f>YEAR('base-pms_spbrasil'!E848)</f>
        <v>2022</v>
      </c>
      <c r="C848">
        <f>MONTH('base-pms_spbrasil'!E848)</f>
        <v>11</v>
      </c>
      <c r="D848" s="3" t="str">
        <f>UPPER(TEXT('base-pms_spbrasil'!E848,"MMMM"))</f>
        <v>NOVEMBRO</v>
      </c>
    </row>
    <row r="849" spans="1:4" x14ac:dyDescent="0.25">
      <c r="A849" s="1">
        <v>44896</v>
      </c>
      <c r="B849">
        <f>YEAR('base-pms_spbrasil'!E849)</f>
        <v>2022</v>
      </c>
      <c r="C849">
        <f>MONTH('base-pms_spbrasil'!E849)</f>
        <v>12</v>
      </c>
      <c r="D849" s="3" t="str">
        <f>UPPER(TEXT('base-pms_spbrasil'!E849,"MMMM"))</f>
        <v>DEZEMBRO</v>
      </c>
    </row>
    <row r="850" spans="1:4" x14ac:dyDescent="0.25">
      <c r="A850" s="1">
        <v>44927</v>
      </c>
      <c r="B850">
        <f>YEAR('base-pms_spbrasil'!E850)</f>
        <v>2023</v>
      </c>
      <c r="C850">
        <f>MONTH('base-pms_spbrasil'!E850)</f>
        <v>1</v>
      </c>
      <c r="D850" s="3" t="str">
        <f>UPPER(TEXT('base-pms_spbrasil'!E850,"MMMM"))</f>
        <v>JANEIRO</v>
      </c>
    </row>
    <row r="851" spans="1:4" x14ac:dyDescent="0.25">
      <c r="A851" s="1">
        <v>44958</v>
      </c>
      <c r="B851">
        <f>YEAR('base-pms_spbrasil'!E851)</f>
        <v>2023</v>
      </c>
      <c r="C851">
        <f>MONTH('base-pms_spbrasil'!E851)</f>
        <v>2</v>
      </c>
      <c r="D851" s="3" t="str">
        <f>UPPER(TEXT('base-pms_spbrasil'!E851,"MMMM"))</f>
        <v>FEVEREIRO</v>
      </c>
    </row>
    <row r="852" spans="1:4" x14ac:dyDescent="0.25">
      <c r="A852" s="1">
        <v>44986</v>
      </c>
      <c r="B852">
        <f>YEAR('base-pms_spbrasil'!E852)</f>
        <v>2023</v>
      </c>
      <c r="C852">
        <f>MONTH('base-pms_spbrasil'!E852)</f>
        <v>3</v>
      </c>
      <c r="D852" s="3" t="str">
        <f>UPPER(TEXT('base-pms_spbrasil'!E852,"MMMM"))</f>
        <v>MARÇO</v>
      </c>
    </row>
    <row r="853" spans="1:4" x14ac:dyDescent="0.25">
      <c r="A853" s="1">
        <v>45017</v>
      </c>
      <c r="B853">
        <f>YEAR('base-pms_spbrasil'!E853)</f>
        <v>2023</v>
      </c>
      <c r="C853">
        <f>MONTH('base-pms_spbrasil'!E853)</f>
        <v>4</v>
      </c>
      <c r="D853" s="3" t="str">
        <f>UPPER(TEXT('base-pms_spbrasil'!E853,"MMMM"))</f>
        <v>ABRIL</v>
      </c>
    </row>
    <row r="854" spans="1:4" x14ac:dyDescent="0.25">
      <c r="A854" s="1">
        <v>45047</v>
      </c>
      <c r="B854">
        <f>YEAR('base-pms_spbrasil'!E854)</f>
        <v>2023</v>
      </c>
      <c r="C854">
        <f>MONTH('base-pms_spbrasil'!E854)</f>
        <v>5</v>
      </c>
      <c r="D854" s="3" t="str">
        <f>UPPER(TEXT('base-pms_spbrasil'!E854,"MMMM"))</f>
        <v>MAIO</v>
      </c>
    </row>
    <row r="855" spans="1:4" x14ac:dyDescent="0.25">
      <c r="A855" s="1">
        <v>45078</v>
      </c>
      <c r="B855">
        <f>YEAR('base-pms_spbrasil'!E855)</f>
        <v>2023</v>
      </c>
      <c r="C855">
        <f>MONTH('base-pms_spbrasil'!E855)</f>
        <v>6</v>
      </c>
      <c r="D855" s="3" t="str">
        <f>UPPER(TEXT('base-pms_spbrasil'!E855,"MMMM"))</f>
        <v>JUNHO</v>
      </c>
    </row>
    <row r="856" spans="1:4" x14ac:dyDescent="0.25">
      <c r="A856" s="1">
        <v>45108</v>
      </c>
      <c r="B856">
        <f>YEAR('base-pms_spbrasil'!E856)</f>
        <v>2023</v>
      </c>
      <c r="C856">
        <f>MONTH('base-pms_spbrasil'!E856)</f>
        <v>7</v>
      </c>
      <c r="D856" s="3" t="str">
        <f>UPPER(TEXT('base-pms_spbrasil'!E856,"MMMM"))</f>
        <v>JULHO</v>
      </c>
    </row>
    <row r="857" spans="1:4" x14ac:dyDescent="0.25">
      <c r="A857" s="1">
        <v>45139</v>
      </c>
      <c r="B857">
        <f>YEAR('base-pms_spbrasil'!E857)</f>
        <v>2023</v>
      </c>
      <c r="C857">
        <f>MONTH('base-pms_spbrasil'!E857)</f>
        <v>8</v>
      </c>
      <c r="D857" s="3" t="str">
        <f>UPPER(TEXT('base-pms_spbrasil'!E857,"MMMM"))</f>
        <v>AGOSTO</v>
      </c>
    </row>
    <row r="858" spans="1:4" x14ac:dyDescent="0.25">
      <c r="A858" s="1">
        <v>45170</v>
      </c>
      <c r="B858">
        <f>YEAR('base-pms_spbrasil'!E858)</f>
        <v>2023</v>
      </c>
      <c r="C858">
        <f>MONTH('base-pms_spbrasil'!E858)</f>
        <v>9</v>
      </c>
      <c r="D858" s="3" t="str">
        <f>UPPER(TEXT('base-pms_spbrasil'!E858,"MMMM"))</f>
        <v>SETEMBRO</v>
      </c>
    </row>
    <row r="859" spans="1:4" x14ac:dyDescent="0.25">
      <c r="A859" s="1">
        <v>45200</v>
      </c>
      <c r="B859">
        <f>YEAR('base-pms_spbrasil'!E859)</f>
        <v>2023</v>
      </c>
      <c r="C859">
        <f>MONTH('base-pms_spbrasil'!E859)</f>
        <v>10</v>
      </c>
      <c r="D859" s="3" t="str">
        <f>UPPER(TEXT('base-pms_spbrasil'!E859,"MMMM"))</f>
        <v>OUTUBRO</v>
      </c>
    </row>
    <row r="860" spans="1:4" x14ac:dyDescent="0.25">
      <c r="A860" s="1">
        <v>45231</v>
      </c>
      <c r="B860">
        <f>YEAR('base-pms_spbrasil'!E860)</f>
        <v>2023</v>
      </c>
      <c r="C860">
        <f>MONTH('base-pms_spbrasil'!E860)</f>
        <v>11</v>
      </c>
      <c r="D860" s="3" t="str">
        <f>UPPER(TEXT('base-pms_spbrasil'!E860,"MMMM"))</f>
        <v>NOVEMBRO</v>
      </c>
    </row>
    <row r="861" spans="1:4" x14ac:dyDescent="0.25">
      <c r="A861" s="1">
        <v>45261</v>
      </c>
      <c r="B861">
        <f>YEAR('base-pms_spbrasil'!E861)</f>
        <v>2023</v>
      </c>
      <c r="C861">
        <f>MONTH('base-pms_spbrasil'!E861)</f>
        <v>12</v>
      </c>
      <c r="D861" s="3" t="str">
        <f>UPPER(TEXT('base-pms_spbrasil'!E861,"MMMM"))</f>
        <v>DEZEMBRO</v>
      </c>
    </row>
    <row r="862" spans="1:4" x14ac:dyDescent="0.25">
      <c r="A862" s="1">
        <v>45292</v>
      </c>
      <c r="B862">
        <f>YEAR('base-pms_spbrasil'!E862)</f>
        <v>2024</v>
      </c>
      <c r="C862">
        <f>MONTH('base-pms_spbrasil'!E862)</f>
        <v>1</v>
      </c>
      <c r="D862" s="3" t="str">
        <f>UPPER(TEXT('base-pms_spbrasil'!E862,"MMMM"))</f>
        <v>JANEIRO</v>
      </c>
    </row>
    <row r="863" spans="1:4" x14ac:dyDescent="0.25">
      <c r="A863" s="1">
        <v>45323</v>
      </c>
      <c r="B863">
        <f>YEAR('base-pms_spbrasil'!E863)</f>
        <v>2024</v>
      </c>
      <c r="C863">
        <f>MONTH('base-pms_spbrasil'!E863)</f>
        <v>2</v>
      </c>
      <c r="D863" s="3" t="str">
        <f>UPPER(TEXT('base-pms_spbrasil'!E863,"MMMM"))</f>
        <v>FEVEREIRO</v>
      </c>
    </row>
    <row r="864" spans="1:4" x14ac:dyDescent="0.25">
      <c r="A864" s="1">
        <v>45352</v>
      </c>
      <c r="B864">
        <f>YEAR('base-pms_spbrasil'!E864)</f>
        <v>2024</v>
      </c>
      <c r="C864">
        <f>MONTH('base-pms_spbrasil'!E864)</f>
        <v>3</v>
      </c>
      <c r="D864" s="3" t="str">
        <f>UPPER(TEXT('base-pms_spbrasil'!E864,"MMMM"))</f>
        <v>MARÇO</v>
      </c>
    </row>
    <row r="865" spans="1:4" x14ac:dyDescent="0.25">
      <c r="A865" s="1">
        <v>45383</v>
      </c>
      <c r="B865">
        <f>YEAR('base-pms_spbrasil'!E865)</f>
        <v>2024</v>
      </c>
      <c r="C865">
        <f>MONTH('base-pms_spbrasil'!E865)</f>
        <v>4</v>
      </c>
      <c r="D865" s="3" t="str">
        <f>UPPER(TEXT('base-pms_spbrasil'!E865,"MMMM"))</f>
        <v>ABRIL</v>
      </c>
    </row>
    <row r="866" spans="1:4" x14ac:dyDescent="0.25">
      <c r="A866" s="1">
        <v>45413</v>
      </c>
      <c r="B866">
        <f>YEAR('base-pms_spbrasil'!E866)</f>
        <v>2024</v>
      </c>
      <c r="C866">
        <f>MONTH('base-pms_spbrasil'!E866)</f>
        <v>5</v>
      </c>
      <c r="D866" s="3" t="str">
        <f>UPPER(TEXT('base-pms_spbrasil'!E866,"MMMM"))</f>
        <v>MAIO</v>
      </c>
    </row>
    <row r="867" spans="1:4" x14ac:dyDescent="0.25">
      <c r="A867" s="1">
        <v>45444</v>
      </c>
      <c r="B867">
        <f>YEAR('base-pms_spbrasil'!E867)</f>
        <v>2024</v>
      </c>
      <c r="C867">
        <f>MONTH('base-pms_spbrasil'!E867)</f>
        <v>6</v>
      </c>
      <c r="D867" s="3" t="str">
        <f>UPPER(TEXT('base-pms_spbrasil'!E867,"MMMM"))</f>
        <v>JUNHO</v>
      </c>
    </row>
    <row r="868" spans="1:4" x14ac:dyDescent="0.25">
      <c r="A868" s="1">
        <v>45474</v>
      </c>
      <c r="B868">
        <f>YEAR('base-pms_spbrasil'!E868)</f>
        <v>2024</v>
      </c>
      <c r="C868">
        <f>MONTH('base-pms_spbrasil'!E868)</f>
        <v>7</v>
      </c>
      <c r="D868" s="3" t="str">
        <f>UPPER(TEXT('base-pms_spbrasil'!E868,"MMMM"))</f>
        <v>JULHO</v>
      </c>
    </row>
    <row r="869" spans="1:4" x14ac:dyDescent="0.25">
      <c r="A869" s="1">
        <v>45505</v>
      </c>
      <c r="B869">
        <f>YEAR('base-pms_spbrasil'!E869)</f>
        <v>2024</v>
      </c>
      <c r="C869">
        <f>MONTH('base-pms_spbrasil'!E869)</f>
        <v>8</v>
      </c>
      <c r="D869" s="3" t="str">
        <f>UPPER(TEXT('base-pms_spbrasil'!E869,"MMMM"))</f>
        <v>AGOSTO</v>
      </c>
    </row>
    <row r="870" spans="1:4" x14ac:dyDescent="0.25">
      <c r="A870" s="1">
        <v>45536</v>
      </c>
      <c r="B870">
        <f>YEAR('base-pms_spbrasil'!E870)</f>
        <v>2024</v>
      </c>
      <c r="C870">
        <f>MONTH('base-pms_spbrasil'!E870)</f>
        <v>9</v>
      </c>
      <c r="D870" s="3" t="str">
        <f>UPPER(TEXT('base-pms_spbrasil'!E870,"MMMM"))</f>
        <v>SETEMBRO</v>
      </c>
    </row>
    <row r="871" spans="1:4" x14ac:dyDescent="0.25">
      <c r="A871" s="1">
        <v>45566</v>
      </c>
      <c r="B871">
        <f>YEAR('base-pms_spbrasil'!E871)</f>
        <v>2024</v>
      </c>
      <c r="C871">
        <f>MONTH('base-pms_spbrasil'!E871)</f>
        <v>10</v>
      </c>
      <c r="D871" s="3" t="str">
        <f>UPPER(TEXT('base-pms_spbrasil'!E871,"MMMM"))</f>
        <v>OUTUBRO</v>
      </c>
    </row>
    <row r="872" spans="1:4" x14ac:dyDescent="0.25">
      <c r="A872" s="1">
        <v>45597</v>
      </c>
      <c r="B872">
        <f>YEAR('base-pms_spbrasil'!E872)</f>
        <v>2024</v>
      </c>
      <c r="C872">
        <f>MONTH('base-pms_spbrasil'!E872)</f>
        <v>11</v>
      </c>
      <c r="D872" s="3" t="str">
        <f>UPPER(TEXT('base-pms_spbrasil'!E872,"MMMM"))</f>
        <v>NOVEMBRO</v>
      </c>
    </row>
    <row r="873" spans="1:4" x14ac:dyDescent="0.25">
      <c r="A873" s="1">
        <v>45627</v>
      </c>
      <c r="B873">
        <f>YEAR('base-pms_spbrasil'!E873)</f>
        <v>2024</v>
      </c>
      <c r="C873">
        <f>MONTH('base-pms_spbrasil'!E873)</f>
        <v>12</v>
      </c>
      <c r="D873" s="3" t="str">
        <f>UPPER(TEXT('base-pms_spbrasil'!E873,"MMMM"))</f>
        <v>DEZEMBRO</v>
      </c>
    </row>
    <row r="874" spans="1:4" x14ac:dyDescent="0.25">
      <c r="A874" s="1">
        <v>45658</v>
      </c>
      <c r="B874">
        <f>YEAR('base-pms_spbrasil'!E874)</f>
        <v>2025</v>
      </c>
      <c r="C874">
        <f>MONTH('base-pms_spbrasil'!E874)</f>
        <v>1</v>
      </c>
      <c r="D874" s="3" t="str">
        <f>UPPER(TEXT('base-pms_spbrasil'!E874,"MMMM"))</f>
        <v>JANEIRO</v>
      </c>
    </row>
    <row r="875" spans="1:4" x14ac:dyDescent="0.25">
      <c r="A875" s="1">
        <v>45689</v>
      </c>
      <c r="B875">
        <f>YEAR('base-pms_spbrasil'!E875)</f>
        <v>2025</v>
      </c>
      <c r="C875">
        <f>MONTH('base-pms_spbrasil'!E875)</f>
        <v>2</v>
      </c>
      <c r="D875" s="3" t="str">
        <f>UPPER(TEXT('base-pms_spbrasil'!E875,"MMMM"))</f>
        <v>FEVEREIRO</v>
      </c>
    </row>
    <row r="876" spans="1:4" x14ac:dyDescent="0.25">
      <c r="A876" s="1">
        <v>45717</v>
      </c>
      <c r="B876">
        <f>YEAR('base-pms_spbrasil'!E876)</f>
        <v>2025</v>
      </c>
      <c r="C876">
        <f>MONTH('base-pms_spbrasil'!E876)</f>
        <v>3</v>
      </c>
      <c r="D876" s="3" t="str">
        <f>UPPER(TEXT('base-pms_spbrasil'!E876,"MMMM"))</f>
        <v>MARÇO</v>
      </c>
    </row>
    <row r="877" spans="1:4" x14ac:dyDescent="0.25">
      <c r="A877" s="1">
        <v>45748</v>
      </c>
      <c r="B877">
        <f>YEAR('base-pms_spbrasil'!E877)</f>
        <v>2025</v>
      </c>
      <c r="C877">
        <f>MONTH('base-pms_spbrasil'!E877)</f>
        <v>4</v>
      </c>
      <c r="D877" s="3" t="str">
        <f>UPPER(TEXT('base-pms_spbrasil'!E877,"MMMM"))</f>
        <v>ABRIL</v>
      </c>
    </row>
    <row r="878" spans="1:4" x14ac:dyDescent="0.25">
      <c r="A878" s="1">
        <v>45778</v>
      </c>
      <c r="B878">
        <f>YEAR('base-pms_spbrasil'!E878)</f>
        <v>2025</v>
      </c>
      <c r="C878">
        <f>MONTH('base-pms_spbrasil'!E878)</f>
        <v>5</v>
      </c>
      <c r="D878" s="3" t="str">
        <f>UPPER(TEXT('base-pms_spbrasil'!E878,"MMMM"))</f>
        <v>MAIO</v>
      </c>
    </row>
    <row r="879" spans="1:4" x14ac:dyDescent="0.25">
      <c r="A879" s="1">
        <v>45809</v>
      </c>
      <c r="B879">
        <f>YEAR('base-pms_spbrasil'!E879)</f>
        <v>2025</v>
      </c>
      <c r="C879">
        <f>MONTH('base-pms_spbrasil'!E879)</f>
        <v>6</v>
      </c>
      <c r="D879" s="3" t="str">
        <f>UPPER(TEXT('base-pms_spbrasil'!E879,"MMMM"))</f>
        <v>JUNHO</v>
      </c>
    </row>
    <row r="880" spans="1:4" x14ac:dyDescent="0.25">
      <c r="A880" s="1">
        <v>45839</v>
      </c>
      <c r="B880">
        <f>YEAR('base-pms_spbrasil'!E880)</f>
        <v>2025</v>
      </c>
      <c r="C880">
        <f>MONTH('base-pms_spbrasil'!E880)</f>
        <v>7</v>
      </c>
      <c r="D880" s="3" t="str">
        <f>UPPER(TEXT('base-pms_spbrasil'!E880,"MMMM"))</f>
        <v>JULHO</v>
      </c>
    </row>
    <row r="881" spans="1:4" x14ac:dyDescent="0.25">
      <c r="A881" s="1">
        <v>45870</v>
      </c>
      <c r="B881">
        <f>YEAR('base-pms_spbrasil'!E881)</f>
        <v>2025</v>
      </c>
      <c r="C881">
        <f>MONTH('base-pms_spbrasil'!E881)</f>
        <v>8</v>
      </c>
      <c r="D881" s="3" t="str">
        <f>UPPER(TEXT('base-pms_spbrasil'!E881,"MMMM"))</f>
        <v>AGOSTO</v>
      </c>
    </row>
    <row r="882" spans="1:4" x14ac:dyDescent="0.25">
      <c r="A882" s="1">
        <v>40544</v>
      </c>
      <c r="B882">
        <f>YEAR('base-pms_spbrasil'!E882)</f>
        <v>2011</v>
      </c>
      <c r="C882">
        <f>MONTH('base-pms_spbrasil'!E882)</f>
        <v>1</v>
      </c>
      <c r="D882" s="3" t="str">
        <f>UPPER(TEXT('base-pms_spbrasil'!E882,"MMMM"))</f>
        <v>JANEIRO</v>
      </c>
    </row>
    <row r="883" spans="1:4" x14ac:dyDescent="0.25">
      <c r="A883" s="1">
        <v>40575</v>
      </c>
      <c r="B883">
        <f>YEAR('base-pms_spbrasil'!E883)</f>
        <v>2011</v>
      </c>
      <c r="C883">
        <f>MONTH('base-pms_spbrasil'!E883)</f>
        <v>2</v>
      </c>
      <c r="D883" s="3" t="str">
        <f>UPPER(TEXT('base-pms_spbrasil'!E883,"MMMM"))</f>
        <v>FEVEREIRO</v>
      </c>
    </row>
    <row r="884" spans="1:4" x14ac:dyDescent="0.25">
      <c r="A884" s="1">
        <v>40603</v>
      </c>
      <c r="B884">
        <f>YEAR('base-pms_spbrasil'!E884)</f>
        <v>2011</v>
      </c>
      <c r="C884">
        <f>MONTH('base-pms_spbrasil'!E884)</f>
        <v>3</v>
      </c>
      <c r="D884" s="3" t="str">
        <f>UPPER(TEXT('base-pms_spbrasil'!E884,"MMMM"))</f>
        <v>MARÇO</v>
      </c>
    </row>
    <row r="885" spans="1:4" x14ac:dyDescent="0.25">
      <c r="A885" s="1">
        <v>40634</v>
      </c>
      <c r="B885">
        <f>YEAR('base-pms_spbrasil'!E885)</f>
        <v>2011</v>
      </c>
      <c r="C885">
        <f>MONTH('base-pms_spbrasil'!E885)</f>
        <v>4</v>
      </c>
      <c r="D885" s="3" t="str">
        <f>UPPER(TEXT('base-pms_spbrasil'!E885,"MMMM"))</f>
        <v>ABRIL</v>
      </c>
    </row>
    <row r="886" spans="1:4" x14ac:dyDescent="0.25">
      <c r="A886" s="1">
        <v>40664</v>
      </c>
      <c r="B886">
        <f>YEAR('base-pms_spbrasil'!E886)</f>
        <v>2011</v>
      </c>
      <c r="C886">
        <f>MONTH('base-pms_spbrasil'!E886)</f>
        <v>5</v>
      </c>
      <c r="D886" s="3" t="str">
        <f>UPPER(TEXT('base-pms_spbrasil'!E886,"MMMM"))</f>
        <v>MAIO</v>
      </c>
    </row>
    <row r="887" spans="1:4" x14ac:dyDescent="0.25">
      <c r="A887" s="1">
        <v>40695</v>
      </c>
      <c r="B887">
        <f>YEAR('base-pms_spbrasil'!E887)</f>
        <v>2011</v>
      </c>
      <c r="C887">
        <f>MONTH('base-pms_spbrasil'!E887)</f>
        <v>6</v>
      </c>
      <c r="D887" s="3" t="str">
        <f>UPPER(TEXT('base-pms_spbrasil'!E887,"MMMM"))</f>
        <v>JUNHO</v>
      </c>
    </row>
    <row r="888" spans="1:4" x14ac:dyDescent="0.25">
      <c r="A888" s="1">
        <v>40725</v>
      </c>
      <c r="B888">
        <f>YEAR('base-pms_spbrasil'!E888)</f>
        <v>2011</v>
      </c>
      <c r="C888">
        <f>MONTH('base-pms_spbrasil'!E888)</f>
        <v>7</v>
      </c>
      <c r="D888" s="3" t="str">
        <f>UPPER(TEXT('base-pms_spbrasil'!E888,"MMMM"))</f>
        <v>JULHO</v>
      </c>
    </row>
    <row r="889" spans="1:4" x14ac:dyDescent="0.25">
      <c r="A889" s="1">
        <v>40756</v>
      </c>
      <c r="B889">
        <f>YEAR('base-pms_spbrasil'!E889)</f>
        <v>2011</v>
      </c>
      <c r="C889">
        <f>MONTH('base-pms_spbrasil'!E889)</f>
        <v>8</v>
      </c>
      <c r="D889" s="3" t="str">
        <f>UPPER(TEXT('base-pms_spbrasil'!E889,"MMMM"))</f>
        <v>AGOSTO</v>
      </c>
    </row>
    <row r="890" spans="1:4" x14ac:dyDescent="0.25">
      <c r="A890" s="1">
        <v>40787</v>
      </c>
      <c r="B890">
        <f>YEAR('base-pms_spbrasil'!E890)</f>
        <v>2011</v>
      </c>
      <c r="C890">
        <f>MONTH('base-pms_spbrasil'!E890)</f>
        <v>9</v>
      </c>
      <c r="D890" s="3" t="str">
        <f>UPPER(TEXT('base-pms_spbrasil'!E890,"MMMM"))</f>
        <v>SETEMBRO</v>
      </c>
    </row>
    <row r="891" spans="1:4" x14ac:dyDescent="0.25">
      <c r="A891" s="1">
        <v>40817</v>
      </c>
      <c r="B891">
        <f>YEAR('base-pms_spbrasil'!E891)</f>
        <v>2011</v>
      </c>
      <c r="C891">
        <f>MONTH('base-pms_spbrasil'!E891)</f>
        <v>10</v>
      </c>
      <c r="D891" s="3" t="str">
        <f>UPPER(TEXT('base-pms_spbrasil'!E891,"MMMM"))</f>
        <v>OUTUBRO</v>
      </c>
    </row>
    <row r="892" spans="1:4" x14ac:dyDescent="0.25">
      <c r="A892" s="1">
        <v>40848</v>
      </c>
      <c r="B892">
        <f>YEAR('base-pms_spbrasil'!E892)</f>
        <v>2011</v>
      </c>
      <c r="C892">
        <f>MONTH('base-pms_spbrasil'!E892)</f>
        <v>11</v>
      </c>
      <c r="D892" s="3" t="str">
        <f>UPPER(TEXT('base-pms_spbrasil'!E892,"MMMM"))</f>
        <v>NOVEMBRO</v>
      </c>
    </row>
    <row r="893" spans="1:4" x14ac:dyDescent="0.25">
      <c r="A893" s="1">
        <v>40878</v>
      </c>
      <c r="B893">
        <f>YEAR('base-pms_spbrasil'!E893)</f>
        <v>2011</v>
      </c>
      <c r="C893">
        <f>MONTH('base-pms_spbrasil'!E893)</f>
        <v>12</v>
      </c>
      <c r="D893" s="3" t="str">
        <f>UPPER(TEXT('base-pms_spbrasil'!E893,"MMMM"))</f>
        <v>DEZEMBRO</v>
      </c>
    </row>
    <row r="894" spans="1:4" x14ac:dyDescent="0.25">
      <c r="A894" s="1">
        <v>40909</v>
      </c>
      <c r="B894">
        <f>YEAR('base-pms_spbrasil'!E894)</f>
        <v>2012</v>
      </c>
      <c r="C894">
        <f>MONTH('base-pms_spbrasil'!E894)</f>
        <v>1</v>
      </c>
      <c r="D894" s="3" t="str">
        <f>UPPER(TEXT('base-pms_spbrasil'!E894,"MMMM"))</f>
        <v>JANEIRO</v>
      </c>
    </row>
    <row r="895" spans="1:4" x14ac:dyDescent="0.25">
      <c r="A895" s="1">
        <v>40940</v>
      </c>
      <c r="B895">
        <f>YEAR('base-pms_spbrasil'!E895)</f>
        <v>2012</v>
      </c>
      <c r="C895">
        <f>MONTH('base-pms_spbrasil'!E895)</f>
        <v>2</v>
      </c>
      <c r="D895" s="3" t="str">
        <f>UPPER(TEXT('base-pms_spbrasil'!E895,"MMMM"))</f>
        <v>FEVEREIRO</v>
      </c>
    </row>
    <row r="896" spans="1:4" x14ac:dyDescent="0.25">
      <c r="A896" s="1">
        <v>40969</v>
      </c>
      <c r="B896">
        <f>YEAR('base-pms_spbrasil'!E896)</f>
        <v>2012</v>
      </c>
      <c r="C896">
        <f>MONTH('base-pms_spbrasil'!E896)</f>
        <v>3</v>
      </c>
      <c r="D896" s="3" t="str">
        <f>UPPER(TEXT('base-pms_spbrasil'!E896,"MMMM"))</f>
        <v>MARÇO</v>
      </c>
    </row>
    <row r="897" spans="1:4" x14ac:dyDescent="0.25">
      <c r="A897" s="1">
        <v>41000</v>
      </c>
      <c r="B897">
        <f>YEAR('base-pms_spbrasil'!E897)</f>
        <v>2012</v>
      </c>
      <c r="C897">
        <f>MONTH('base-pms_spbrasil'!E897)</f>
        <v>4</v>
      </c>
      <c r="D897" s="3" t="str">
        <f>UPPER(TEXT('base-pms_spbrasil'!E897,"MMMM"))</f>
        <v>ABRIL</v>
      </c>
    </row>
    <row r="898" spans="1:4" x14ac:dyDescent="0.25">
      <c r="A898" s="1">
        <v>41030</v>
      </c>
      <c r="B898">
        <f>YEAR('base-pms_spbrasil'!E898)</f>
        <v>2012</v>
      </c>
      <c r="C898">
        <f>MONTH('base-pms_spbrasil'!E898)</f>
        <v>5</v>
      </c>
      <c r="D898" s="3" t="str">
        <f>UPPER(TEXT('base-pms_spbrasil'!E898,"MMMM"))</f>
        <v>MAIO</v>
      </c>
    </row>
    <row r="899" spans="1:4" x14ac:dyDescent="0.25">
      <c r="A899" s="1">
        <v>41061</v>
      </c>
      <c r="B899">
        <f>YEAR('base-pms_spbrasil'!E899)</f>
        <v>2012</v>
      </c>
      <c r="C899">
        <f>MONTH('base-pms_spbrasil'!E899)</f>
        <v>6</v>
      </c>
      <c r="D899" s="3" t="str">
        <f>UPPER(TEXT('base-pms_spbrasil'!E899,"MMMM"))</f>
        <v>JUNHO</v>
      </c>
    </row>
    <row r="900" spans="1:4" x14ac:dyDescent="0.25">
      <c r="A900" s="1">
        <v>41091</v>
      </c>
      <c r="B900">
        <f>YEAR('base-pms_spbrasil'!E900)</f>
        <v>2012</v>
      </c>
      <c r="C900">
        <f>MONTH('base-pms_spbrasil'!E900)</f>
        <v>7</v>
      </c>
      <c r="D900" s="3" t="str">
        <f>UPPER(TEXT('base-pms_spbrasil'!E900,"MMMM"))</f>
        <v>JULHO</v>
      </c>
    </row>
    <row r="901" spans="1:4" x14ac:dyDescent="0.25">
      <c r="A901" s="1">
        <v>41122</v>
      </c>
      <c r="B901">
        <f>YEAR('base-pms_spbrasil'!E901)</f>
        <v>2012</v>
      </c>
      <c r="C901">
        <f>MONTH('base-pms_spbrasil'!E901)</f>
        <v>8</v>
      </c>
      <c r="D901" s="3" t="str">
        <f>UPPER(TEXT('base-pms_spbrasil'!E901,"MMMM"))</f>
        <v>AGOSTO</v>
      </c>
    </row>
    <row r="902" spans="1:4" x14ac:dyDescent="0.25">
      <c r="A902" s="1">
        <v>41153</v>
      </c>
      <c r="B902">
        <f>YEAR('base-pms_spbrasil'!E902)</f>
        <v>2012</v>
      </c>
      <c r="C902">
        <f>MONTH('base-pms_spbrasil'!E902)</f>
        <v>9</v>
      </c>
      <c r="D902" s="3" t="str">
        <f>UPPER(TEXT('base-pms_spbrasil'!E902,"MMMM"))</f>
        <v>SETEMBRO</v>
      </c>
    </row>
    <row r="903" spans="1:4" x14ac:dyDescent="0.25">
      <c r="A903" s="1">
        <v>41183</v>
      </c>
      <c r="B903">
        <f>YEAR('base-pms_spbrasil'!E903)</f>
        <v>2012</v>
      </c>
      <c r="C903">
        <f>MONTH('base-pms_spbrasil'!E903)</f>
        <v>10</v>
      </c>
      <c r="D903" s="3" t="str">
        <f>UPPER(TEXT('base-pms_spbrasil'!E903,"MMMM"))</f>
        <v>OUTUBRO</v>
      </c>
    </row>
    <row r="904" spans="1:4" x14ac:dyDescent="0.25">
      <c r="A904" s="1">
        <v>41214</v>
      </c>
      <c r="B904">
        <f>YEAR('base-pms_spbrasil'!E904)</f>
        <v>2012</v>
      </c>
      <c r="C904">
        <f>MONTH('base-pms_spbrasil'!E904)</f>
        <v>11</v>
      </c>
      <c r="D904" s="3" t="str">
        <f>UPPER(TEXT('base-pms_spbrasil'!E904,"MMMM"))</f>
        <v>NOVEMBRO</v>
      </c>
    </row>
    <row r="905" spans="1:4" x14ac:dyDescent="0.25">
      <c r="A905" s="1">
        <v>41244</v>
      </c>
      <c r="B905">
        <f>YEAR('base-pms_spbrasil'!E905)</f>
        <v>2012</v>
      </c>
      <c r="C905">
        <f>MONTH('base-pms_spbrasil'!E905)</f>
        <v>12</v>
      </c>
      <c r="D905" s="3" t="str">
        <f>UPPER(TEXT('base-pms_spbrasil'!E905,"MMMM"))</f>
        <v>DEZEMBRO</v>
      </c>
    </row>
    <row r="906" spans="1:4" x14ac:dyDescent="0.25">
      <c r="A906" s="1">
        <v>41275</v>
      </c>
      <c r="B906">
        <f>YEAR('base-pms_spbrasil'!E906)</f>
        <v>2013</v>
      </c>
      <c r="C906">
        <f>MONTH('base-pms_spbrasil'!E906)</f>
        <v>1</v>
      </c>
      <c r="D906" s="3" t="str">
        <f>UPPER(TEXT('base-pms_spbrasil'!E906,"MMMM"))</f>
        <v>JANEIRO</v>
      </c>
    </row>
    <row r="907" spans="1:4" x14ac:dyDescent="0.25">
      <c r="A907" s="1">
        <v>41306</v>
      </c>
      <c r="B907">
        <f>YEAR('base-pms_spbrasil'!E907)</f>
        <v>2013</v>
      </c>
      <c r="C907">
        <f>MONTH('base-pms_spbrasil'!E907)</f>
        <v>2</v>
      </c>
      <c r="D907" s="3" t="str">
        <f>UPPER(TEXT('base-pms_spbrasil'!E907,"MMMM"))</f>
        <v>FEVEREIRO</v>
      </c>
    </row>
    <row r="908" spans="1:4" x14ac:dyDescent="0.25">
      <c r="A908" s="1">
        <v>41334</v>
      </c>
      <c r="B908">
        <f>YEAR('base-pms_spbrasil'!E908)</f>
        <v>2013</v>
      </c>
      <c r="C908">
        <f>MONTH('base-pms_spbrasil'!E908)</f>
        <v>3</v>
      </c>
      <c r="D908" s="3" t="str">
        <f>UPPER(TEXT('base-pms_spbrasil'!E908,"MMMM"))</f>
        <v>MARÇO</v>
      </c>
    </row>
    <row r="909" spans="1:4" x14ac:dyDescent="0.25">
      <c r="A909" s="1">
        <v>41365</v>
      </c>
      <c r="B909">
        <f>YEAR('base-pms_spbrasil'!E909)</f>
        <v>2013</v>
      </c>
      <c r="C909">
        <f>MONTH('base-pms_spbrasil'!E909)</f>
        <v>4</v>
      </c>
      <c r="D909" s="3" t="str">
        <f>UPPER(TEXT('base-pms_spbrasil'!E909,"MMMM"))</f>
        <v>ABRIL</v>
      </c>
    </row>
    <row r="910" spans="1:4" x14ac:dyDescent="0.25">
      <c r="A910" s="1">
        <v>41395</v>
      </c>
      <c r="B910">
        <f>YEAR('base-pms_spbrasil'!E910)</f>
        <v>2013</v>
      </c>
      <c r="C910">
        <f>MONTH('base-pms_spbrasil'!E910)</f>
        <v>5</v>
      </c>
      <c r="D910" s="3" t="str">
        <f>UPPER(TEXT('base-pms_spbrasil'!E910,"MMMM"))</f>
        <v>MAIO</v>
      </c>
    </row>
    <row r="911" spans="1:4" x14ac:dyDescent="0.25">
      <c r="A911" s="1">
        <v>41426</v>
      </c>
      <c r="B911">
        <f>YEAR('base-pms_spbrasil'!E911)</f>
        <v>2013</v>
      </c>
      <c r="C911">
        <f>MONTH('base-pms_spbrasil'!E911)</f>
        <v>6</v>
      </c>
      <c r="D911" s="3" t="str">
        <f>UPPER(TEXT('base-pms_spbrasil'!E911,"MMMM"))</f>
        <v>JUNHO</v>
      </c>
    </row>
    <row r="912" spans="1:4" x14ac:dyDescent="0.25">
      <c r="A912" s="1">
        <v>41456</v>
      </c>
      <c r="B912">
        <f>YEAR('base-pms_spbrasil'!E912)</f>
        <v>2013</v>
      </c>
      <c r="C912">
        <f>MONTH('base-pms_spbrasil'!E912)</f>
        <v>7</v>
      </c>
      <c r="D912" s="3" t="str">
        <f>UPPER(TEXT('base-pms_spbrasil'!E912,"MMMM"))</f>
        <v>JULHO</v>
      </c>
    </row>
    <row r="913" spans="1:4" x14ac:dyDescent="0.25">
      <c r="A913" s="1">
        <v>41487</v>
      </c>
      <c r="B913">
        <f>YEAR('base-pms_spbrasil'!E913)</f>
        <v>2013</v>
      </c>
      <c r="C913">
        <f>MONTH('base-pms_spbrasil'!E913)</f>
        <v>8</v>
      </c>
      <c r="D913" s="3" t="str">
        <f>UPPER(TEXT('base-pms_spbrasil'!E913,"MMMM"))</f>
        <v>AGOSTO</v>
      </c>
    </row>
    <row r="914" spans="1:4" x14ac:dyDescent="0.25">
      <c r="A914" s="1">
        <v>41518</v>
      </c>
      <c r="B914">
        <f>YEAR('base-pms_spbrasil'!E914)</f>
        <v>2013</v>
      </c>
      <c r="C914">
        <f>MONTH('base-pms_spbrasil'!E914)</f>
        <v>9</v>
      </c>
      <c r="D914" s="3" t="str">
        <f>UPPER(TEXT('base-pms_spbrasil'!E914,"MMMM"))</f>
        <v>SETEMBRO</v>
      </c>
    </row>
    <row r="915" spans="1:4" x14ac:dyDescent="0.25">
      <c r="A915" s="1">
        <v>41548</v>
      </c>
      <c r="B915">
        <f>YEAR('base-pms_spbrasil'!E915)</f>
        <v>2013</v>
      </c>
      <c r="C915">
        <f>MONTH('base-pms_spbrasil'!E915)</f>
        <v>10</v>
      </c>
      <c r="D915" s="3" t="str">
        <f>UPPER(TEXT('base-pms_spbrasil'!E915,"MMMM"))</f>
        <v>OUTUBRO</v>
      </c>
    </row>
    <row r="916" spans="1:4" x14ac:dyDescent="0.25">
      <c r="A916" s="1">
        <v>41579</v>
      </c>
      <c r="B916">
        <f>YEAR('base-pms_spbrasil'!E916)</f>
        <v>2013</v>
      </c>
      <c r="C916">
        <f>MONTH('base-pms_spbrasil'!E916)</f>
        <v>11</v>
      </c>
      <c r="D916" s="3" t="str">
        <f>UPPER(TEXT('base-pms_spbrasil'!E916,"MMMM"))</f>
        <v>NOVEMBRO</v>
      </c>
    </row>
    <row r="917" spans="1:4" x14ac:dyDescent="0.25">
      <c r="A917" s="1">
        <v>41609</v>
      </c>
      <c r="B917">
        <f>YEAR('base-pms_spbrasil'!E917)</f>
        <v>2013</v>
      </c>
      <c r="C917">
        <f>MONTH('base-pms_spbrasil'!E917)</f>
        <v>12</v>
      </c>
      <c r="D917" s="3" t="str">
        <f>UPPER(TEXT('base-pms_spbrasil'!E917,"MMMM"))</f>
        <v>DEZEMBRO</v>
      </c>
    </row>
    <row r="918" spans="1:4" x14ac:dyDescent="0.25">
      <c r="A918" s="1">
        <v>41640</v>
      </c>
      <c r="B918">
        <f>YEAR('base-pms_spbrasil'!E918)</f>
        <v>2014</v>
      </c>
      <c r="C918">
        <f>MONTH('base-pms_spbrasil'!E918)</f>
        <v>1</v>
      </c>
      <c r="D918" s="3" t="str">
        <f>UPPER(TEXT('base-pms_spbrasil'!E918,"MMMM"))</f>
        <v>JANEIRO</v>
      </c>
    </row>
    <row r="919" spans="1:4" x14ac:dyDescent="0.25">
      <c r="A919" s="1">
        <v>41671</v>
      </c>
      <c r="B919">
        <f>YEAR('base-pms_spbrasil'!E919)</f>
        <v>2014</v>
      </c>
      <c r="C919">
        <f>MONTH('base-pms_spbrasil'!E919)</f>
        <v>2</v>
      </c>
      <c r="D919" s="3" t="str">
        <f>UPPER(TEXT('base-pms_spbrasil'!E919,"MMMM"))</f>
        <v>FEVEREIRO</v>
      </c>
    </row>
    <row r="920" spans="1:4" x14ac:dyDescent="0.25">
      <c r="A920" s="1">
        <v>41699</v>
      </c>
      <c r="B920">
        <f>YEAR('base-pms_spbrasil'!E920)</f>
        <v>2014</v>
      </c>
      <c r="C920">
        <f>MONTH('base-pms_spbrasil'!E920)</f>
        <v>3</v>
      </c>
      <c r="D920" s="3" t="str">
        <f>UPPER(TEXT('base-pms_spbrasil'!E920,"MMMM"))</f>
        <v>MARÇO</v>
      </c>
    </row>
    <row r="921" spans="1:4" x14ac:dyDescent="0.25">
      <c r="A921" s="1">
        <v>41730</v>
      </c>
      <c r="B921">
        <f>YEAR('base-pms_spbrasil'!E921)</f>
        <v>2014</v>
      </c>
      <c r="C921">
        <f>MONTH('base-pms_spbrasil'!E921)</f>
        <v>4</v>
      </c>
      <c r="D921" s="3" t="str">
        <f>UPPER(TEXT('base-pms_spbrasil'!E921,"MMMM"))</f>
        <v>ABRIL</v>
      </c>
    </row>
    <row r="922" spans="1:4" x14ac:dyDescent="0.25">
      <c r="A922" s="1">
        <v>41760</v>
      </c>
      <c r="B922">
        <f>YEAR('base-pms_spbrasil'!E922)</f>
        <v>2014</v>
      </c>
      <c r="C922">
        <f>MONTH('base-pms_spbrasil'!E922)</f>
        <v>5</v>
      </c>
      <c r="D922" s="3" t="str">
        <f>UPPER(TEXT('base-pms_spbrasil'!E922,"MMMM"))</f>
        <v>MAIO</v>
      </c>
    </row>
    <row r="923" spans="1:4" x14ac:dyDescent="0.25">
      <c r="A923" s="1">
        <v>41791</v>
      </c>
      <c r="B923">
        <f>YEAR('base-pms_spbrasil'!E923)</f>
        <v>2014</v>
      </c>
      <c r="C923">
        <f>MONTH('base-pms_spbrasil'!E923)</f>
        <v>6</v>
      </c>
      <c r="D923" s="3" t="str">
        <f>UPPER(TEXT('base-pms_spbrasil'!E923,"MMMM"))</f>
        <v>JUNHO</v>
      </c>
    </row>
    <row r="924" spans="1:4" x14ac:dyDescent="0.25">
      <c r="A924" s="1">
        <v>41821</v>
      </c>
      <c r="B924">
        <f>YEAR('base-pms_spbrasil'!E924)</f>
        <v>2014</v>
      </c>
      <c r="C924">
        <f>MONTH('base-pms_spbrasil'!E924)</f>
        <v>7</v>
      </c>
      <c r="D924" s="3" t="str">
        <f>UPPER(TEXT('base-pms_spbrasil'!E924,"MMMM"))</f>
        <v>JULHO</v>
      </c>
    </row>
    <row r="925" spans="1:4" x14ac:dyDescent="0.25">
      <c r="A925" s="1">
        <v>41852</v>
      </c>
      <c r="B925">
        <f>YEAR('base-pms_spbrasil'!E925)</f>
        <v>2014</v>
      </c>
      <c r="C925">
        <f>MONTH('base-pms_spbrasil'!E925)</f>
        <v>8</v>
      </c>
      <c r="D925" s="3" t="str">
        <f>UPPER(TEXT('base-pms_spbrasil'!E925,"MMMM"))</f>
        <v>AGOSTO</v>
      </c>
    </row>
    <row r="926" spans="1:4" x14ac:dyDescent="0.25">
      <c r="A926" s="1">
        <v>41883</v>
      </c>
      <c r="B926">
        <f>YEAR('base-pms_spbrasil'!E926)</f>
        <v>2014</v>
      </c>
      <c r="C926">
        <f>MONTH('base-pms_spbrasil'!E926)</f>
        <v>9</v>
      </c>
      <c r="D926" s="3" t="str">
        <f>UPPER(TEXT('base-pms_spbrasil'!E926,"MMMM"))</f>
        <v>SETEMBRO</v>
      </c>
    </row>
    <row r="927" spans="1:4" x14ac:dyDescent="0.25">
      <c r="A927" s="1">
        <v>41913</v>
      </c>
      <c r="B927">
        <f>YEAR('base-pms_spbrasil'!E927)</f>
        <v>2014</v>
      </c>
      <c r="C927">
        <f>MONTH('base-pms_spbrasil'!E927)</f>
        <v>10</v>
      </c>
      <c r="D927" s="3" t="str">
        <f>UPPER(TEXT('base-pms_spbrasil'!E927,"MMMM"))</f>
        <v>OUTUBRO</v>
      </c>
    </row>
    <row r="928" spans="1:4" x14ac:dyDescent="0.25">
      <c r="A928" s="1">
        <v>41944</v>
      </c>
      <c r="B928">
        <f>YEAR('base-pms_spbrasil'!E928)</f>
        <v>2014</v>
      </c>
      <c r="C928">
        <f>MONTH('base-pms_spbrasil'!E928)</f>
        <v>11</v>
      </c>
      <c r="D928" s="3" t="str">
        <f>UPPER(TEXT('base-pms_spbrasil'!E928,"MMMM"))</f>
        <v>NOVEMBRO</v>
      </c>
    </row>
    <row r="929" spans="1:4" x14ac:dyDescent="0.25">
      <c r="A929" s="1">
        <v>41974</v>
      </c>
      <c r="B929">
        <f>YEAR('base-pms_spbrasil'!E929)</f>
        <v>2014</v>
      </c>
      <c r="C929">
        <f>MONTH('base-pms_spbrasil'!E929)</f>
        <v>12</v>
      </c>
      <c r="D929" s="3" t="str">
        <f>UPPER(TEXT('base-pms_spbrasil'!E929,"MMMM"))</f>
        <v>DEZEMBRO</v>
      </c>
    </row>
    <row r="930" spans="1:4" x14ac:dyDescent="0.25">
      <c r="A930" s="1">
        <v>42005</v>
      </c>
      <c r="B930">
        <f>YEAR('base-pms_spbrasil'!E930)</f>
        <v>2015</v>
      </c>
      <c r="C930">
        <f>MONTH('base-pms_spbrasil'!E930)</f>
        <v>1</v>
      </c>
      <c r="D930" s="3" t="str">
        <f>UPPER(TEXT('base-pms_spbrasil'!E930,"MMMM"))</f>
        <v>JANEIRO</v>
      </c>
    </row>
    <row r="931" spans="1:4" x14ac:dyDescent="0.25">
      <c r="A931" s="1">
        <v>42036</v>
      </c>
      <c r="B931">
        <f>YEAR('base-pms_spbrasil'!E931)</f>
        <v>2015</v>
      </c>
      <c r="C931">
        <f>MONTH('base-pms_spbrasil'!E931)</f>
        <v>2</v>
      </c>
      <c r="D931" s="3" t="str">
        <f>UPPER(TEXT('base-pms_spbrasil'!E931,"MMMM"))</f>
        <v>FEVEREIRO</v>
      </c>
    </row>
    <row r="932" spans="1:4" x14ac:dyDescent="0.25">
      <c r="A932" s="1">
        <v>42064</v>
      </c>
      <c r="B932">
        <f>YEAR('base-pms_spbrasil'!E932)</f>
        <v>2015</v>
      </c>
      <c r="C932">
        <f>MONTH('base-pms_spbrasil'!E932)</f>
        <v>3</v>
      </c>
      <c r="D932" s="3" t="str">
        <f>UPPER(TEXT('base-pms_spbrasil'!E932,"MMMM"))</f>
        <v>MARÇO</v>
      </c>
    </row>
    <row r="933" spans="1:4" x14ac:dyDescent="0.25">
      <c r="A933" s="1">
        <v>42095</v>
      </c>
      <c r="B933">
        <f>YEAR('base-pms_spbrasil'!E933)</f>
        <v>2015</v>
      </c>
      <c r="C933">
        <f>MONTH('base-pms_spbrasil'!E933)</f>
        <v>4</v>
      </c>
      <c r="D933" s="3" t="str">
        <f>UPPER(TEXT('base-pms_spbrasil'!E933,"MMMM"))</f>
        <v>ABRIL</v>
      </c>
    </row>
    <row r="934" spans="1:4" x14ac:dyDescent="0.25">
      <c r="A934" s="1">
        <v>42125</v>
      </c>
      <c r="B934">
        <f>YEAR('base-pms_spbrasil'!E934)</f>
        <v>2015</v>
      </c>
      <c r="C934">
        <f>MONTH('base-pms_spbrasil'!E934)</f>
        <v>5</v>
      </c>
      <c r="D934" s="3" t="str">
        <f>UPPER(TEXT('base-pms_spbrasil'!E934,"MMMM"))</f>
        <v>MAIO</v>
      </c>
    </row>
    <row r="935" spans="1:4" x14ac:dyDescent="0.25">
      <c r="A935" s="1">
        <v>42156</v>
      </c>
      <c r="B935">
        <f>YEAR('base-pms_spbrasil'!E935)</f>
        <v>2015</v>
      </c>
      <c r="C935">
        <f>MONTH('base-pms_spbrasil'!E935)</f>
        <v>6</v>
      </c>
      <c r="D935" s="3" t="str">
        <f>UPPER(TEXT('base-pms_spbrasil'!E935,"MMMM"))</f>
        <v>JUNHO</v>
      </c>
    </row>
    <row r="936" spans="1:4" x14ac:dyDescent="0.25">
      <c r="A936" s="1">
        <v>42186</v>
      </c>
      <c r="B936">
        <f>YEAR('base-pms_spbrasil'!E936)</f>
        <v>2015</v>
      </c>
      <c r="C936">
        <f>MONTH('base-pms_spbrasil'!E936)</f>
        <v>7</v>
      </c>
      <c r="D936" s="3" t="str">
        <f>UPPER(TEXT('base-pms_spbrasil'!E936,"MMMM"))</f>
        <v>JULHO</v>
      </c>
    </row>
    <row r="937" spans="1:4" x14ac:dyDescent="0.25">
      <c r="A937" s="1">
        <v>42217</v>
      </c>
      <c r="B937">
        <f>YEAR('base-pms_spbrasil'!E937)</f>
        <v>2015</v>
      </c>
      <c r="C937">
        <f>MONTH('base-pms_spbrasil'!E937)</f>
        <v>8</v>
      </c>
      <c r="D937" s="3" t="str">
        <f>UPPER(TEXT('base-pms_spbrasil'!E937,"MMMM"))</f>
        <v>AGOSTO</v>
      </c>
    </row>
    <row r="938" spans="1:4" x14ac:dyDescent="0.25">
      <c r="A938" s="1">
        <v>42248</v>
      </c>
      <c r="B938">
        <f>YEAR('base-pms_spbrasil'!E938)</f>
        <v>2015</v>
      </c>
      <c r="C938">
        <f>MONTH('base-pms_spbrasil'!E938)</f>
        <v>9</v>
      </c>
      <c r="D938" s="3" t="str">
        <f>UPPER(TEXT('base-pms_spbrasil'!E938,"MMMM"))</f>
        <v>SETEMBRO</v>
      </c>
    </row>
    <row r="939" spans="1:4" x14ac:dyDescent="0.25">
      <c r="A939" s="1">
        <v>42278</v>
      </c>
      <c r="B939">
        <f>YEAR('base-pms_spbrasil'!E939)</f>
        <v>2015</v>
      </c>
      <c r="C939">
        <f>MONTH('base-pms_spbrasil'!E939)</f>
        <v>10</v>
      </c>
      <c r="D939" s="3" t="str">
        <f>UPPER(TEXT('base-pms_spbrasil'!E939,"MMMM"))</f>
        <v>OUTUBRO</v>
      </c>
    </row>
    <row r="940" spans="1:4" x14ac:dyDescent="0.25">
      <c r="A940" s="1">
        <v>42309</v>
      </c>
      <c r="B940">
        <f>YEAR('base-pms_spbrasil'!E940)</f>
        <v>2015</v>
      </c>
      <c r="C940">
        <f>MONTH('base-pms_spbrasil'!E940)</f>
        <v>11</v>
      </c>
      <c r="D940" s="3" t="str">
        <f>UPPER(TEXT('base-pms_spbrasil'!E940,"MMMM"))</f>
        <v>NOVEMBRO</v>
      </c>
    </row>
    <row r="941" spans="1:4" x14ac:dyDescent="0.25">
      <c r="A941" s="1">
        <v>42339</v>
      </c>
      <c r="B941">
        <f>YEAR('base-pms_spbrasil'!E941)</f>
        <v>2015</v>
      </c>
      <c r="C941">
        <f>MONTH('base-pms_spbrasil'!E941)</f>
        <v>12</v>
      </c>
      <c r="D941" s="3" t="str">
        <f>UPPER(TEXT('base-pms_spbrasil'!E941,"MMMM"))</f>
        <v>DEZEMBRO</v>
      </c>
    </row>
    <row r="942" spans="1:4" x14ac:dyDescent="0.25">
      <c r="A942" s="1">
        <v>42370</v>
      </c>
      <c r="B942">
        <f>YEAR('base-pms_spbrasil'!E942)</f>
        <v>2016</v>
      </c>
      <c r="C942">
        <f>MONTH('base-pms_spbrasil'!E942)</f>
        <v>1</v>
      </c>
      <c r="D942" s="3" t="str">
        <f>UPPER(TEXT('base-pms_spbrasil'!E942,"MMMM"))</f>
        <v>JANEIRO</v>
      </c>
    </row>
    <row r="943" spans="1:4" x14ac:dyDescent="0.25">
      <c r="A943" s="1">
        <v>42401</v>
      </c>
      <c r="B943">
        <f>YEAR('base-pms_spbrasil'!E943)</f>
        <v>2016</v>
      </c>
      <c r="C943">
        <f>MONTH('base-pms_spbrasil'!E943)</f>
        <v>2</v>
      </c>
      <c r="D943" s="3" t="str">
        <f>UPPER(TEXT('base-pms_spbrasil'!E943,"MMMM"))</f>
        <v>FEVEREIRO</v>
      </c>
    </row>
    <row r="944" spans="1:4" x14ac:dyDescent="0.25">
      <c r="A944" s="1">
        <v>42430</v>
      </c>
      <c r="B944">
        <f>YEAR('base-pms_spbrasil'!E944)</f>
        <v>2016</v>
      </c>
      <c r="C944">
        <f>MONTH('base-pms_spbrasil'!E944)</f>
        <v>3</v>
      </c>
      <c r="D944" s="3" t="str">
        <f>UPPER(TEXT('base-pms_spbrasil'!E944,"MMMM"))</f>
        <v>MARÇO</v>
      </c>
    </row>
    <row r="945" spans="1:4" x14ac:dyDescent="0.25">
      <c r="A945" s="1">
        <v>42461</v>
      </c>
      <c r="B945">
        <f>YEAR('base-pms_spbrasil'!E945)</f>
        <v>2016</v>
      </c>
      <c r="C945">
        <f>MONTH('base-pms_spbrasil'!E945)</f>
        <v>4</v>
      </c>
      <c r="D945" s="3" t="str">
        <f>UPPER(TEXT('base-pms_spbrasil'!E945,"MMMM"))</f>
        <v>ABRIL</v>
      </c>
    </row>
    <row r="946" spans="1:4" x14ac:dyDescent="0.25">
      <c r="A946" s="1">
        <v>42491</v>
      </c>
      <c r="B946">
        <f>YEAR('base-pms_spbrasil'!E946)</f>
        <v>2016</v>
      </c>
      <c r="C946">
        <f>MONTH('base-pms_spbrasil'!E946)</f>
        <v>5</v>
      </c>
      <c r="D946" s="3" t="str">
        <f>UPPER(TEXT('base-pms_spbrasil'!E946,"MMMM"))</f>
        <v>MAIO</v>
      </c>
    </row>
    <row r="947" spans="1:4" x14ac:dyDescent="0.25">
      <c r="A947" s="1">
        <v>42522</v>
      </c>
      <c r="B947">
        <f>YEAR('base-pms_spbrasil'!E947)</f>
        <v>2016</v>
      </c>
      <c r="C947">
        <f>MONTH('base-pms_spbrasil'!E947)</f>
        <v>6</v>
      </c>
      <c r="D947" s="3" t="str">
        <f>UPPER(TEXT('base-pms_spbrasil'!E947,"MMMM"))</f>
        <v>JUNHO</v>
      </c>
    </row>
    <row r="948" spans="1:4" x14ac:dyDescent="0.25">
      <c r="A948" s="1">
        <v>42552</v>
      </c>
      <c r="B948">
        <f>YEAR('base-pms_spbrasil'!E948)</f>
        <v>2016</v>
      </c>
      <c r="C948">
        <f>MONTH('base-pms_spbrasil'!E948)</f>
        <v>7</v>
      </c>
      <c r="D948" s="3" t="str">
        <f>UPPER(TEXT('base-pms_spbrasil'!E948,"MMMM"))</f>
        <v>JULHO</v>
      </c>
    </row>
    <row r="949" spans="1:4" x14ac:dyDescent="0.25">
      <c r="A949" s="1">
        <v>42583</v>
      </c>
      <c r="B949">
        <f>YEAR('base-pms_spbrasil'!E949)</f>
        <v>2016</v>
      </c>
      <c r="C949">
        <f>MONTH('base-pms_spbrasil'!E949)</f>
        <v>8</v>
      </c>
      <c r="D949" s="3" t="str">
        <f>UPPER(TEXT('base-pms_spbrasil'!E949,"MMMM"))</f>
        <v>AGOSTO</v>
      </c>
    </row>
    <row r="950" spans="1:4" x14ac:dyDescent="0.25">
      <c r="A950" s="1">
        <v>42614</v>
      </c>
      <c r="B950">
        <f>YEAR('base-pms_spbrasil'!E950)</f>
        <v>2016</v>
      </c>
      <c r="C950">
        <f>MONTH('base-pms_spbrasil'!E950)</f>
        <v>9</v>
      </c>
      <c r="D950" s="3" t="str">
        <f>UPPER(TEXT('base-pms_spbrasil'!E950,"MMMM"))</f>
        <v>SETEMBRO</v>
      </c>
    </row>
    <row r="951" spans="1:4" x14ac:dyDescent="0.25">
      <c r="A951" s="1">
        <v>42644</v>
      </c>
      <c r="B951">
        <f>YEAR('base-pms_spbrasil'!E951)</f>
        <v>2016</v>
      </c>
      <c r="C951">
        <f>MONTH('base-pms_spbrasil'!E951)</f>
        <v>10</v>
      </c>
      <c r="D951" s="3" t="str">
        <f>UPPER(TEXT('base-pms_spbrasil'!E951,"MMMM"))</f>
        <v>OUTUBRO</v>
      </c>
    </row>
    <row r="952" spans="1:4" x14ac:dyDescent="0.25">
      <c r="A952" s="1">
        <v>42675</v>
      </c>
      <c r="B952">
        <f>YEAR('base-pms_spbrasil'!E952)</f>
        <v>2016</v>
      </c>
      <c r="C952">
        <f>MONTH('base-pms_spbrasil'!E952)</f>
        <v>11</v>
      </c>
      <c r="D952" s="3" t="str">
        <f>UPPER(TEXT('base-pms_spbrasil'!E952,"MMMM"))</f>
        <v>NOVEMBRO</v>
      </c>
    </row>
    <row r="953" spans="1:4" x14ac:dyDescent="0.25">
      <c r="A953" s="1">
        <v>42705</v>
      </c>
      <c r="B953">
        <f>YEAR('base-pms_spbrasil'!E953)</f>
        <v>2016</v>
      </c>
      <c r="C953">
        <f>MONTH('base-pms_spbrasil'!E953)</f>
        <v>12</v>
      </c>
      <c r="D953" s="3" t="str">
        <f>UPPER(TEXT('base-pms_spbrasil'!E953,"MMMM"))</f>
        <v>DEZEMBRO</v>
      </c>
    </row>
    <row r="954" spans="1:4" x14ac:dyDescent="0.25">
      <c r="A954" s="1">
        <v>42736</v>
      </c>
      <c r="B954">
        <f>YEAR('base-pms_spbrasil'!E954)</f>
        <v>2017</v>
      </c>
      <c r="C954">
        <f>MONTH('base-pms_spbrasil'!E954)</f>
        <v>1</v>
      </c>
      <c r="D954" s="3" t="str">
        <f>UPPER(TEXT('base-pms_spbrasil'!E954,"MMMM"))</f>
        <v>JANEIRO</v>
      </c>
    </row>
    <row r="955" spans="1:4" x14ac:dyDescent="0.25">
      <c r="A955" s="1">
        <v>42767</v>
      </c>
      <c r="B955">
        <f>YEAR('base-pms_spbrasil'!E955)</f>
        <v>2017</v>
      </c>
      <c r="C955">
        <f>MONTH('base-pms_spbrasil'!E955)</f>
        <v>2</v>
      </c>
      <c r="D955" s="3" t="str">
        <f>UPPER(TEXT('base-pms_spbrasil'!E955,"MMMM"))</f>
        <v>FEVEREIRO</v>
      </c>
    </row>
    <row r="956" spans="1:4" x14ac:dyDescent="0.25">
      <c r="A956" s="1">
        <v>42795</v>
      </c>
      <c r="B956">
        <f>YEAR('base-pms_spbrasil'!E956)</f>
        <v>2017</v>
      </c>
      <c r="C956">
        <f>MONTH('base-pms_spbrasil'!E956)</f>
        <v>3</v>
      </c>
      <c r="D956" s="3" t="str">
        <f>UPPER(TEXT('base-pms_spbrasil'!E956,"MMMM"))</f>
        <v>MARÇO</v>
      </c>
    </row>
    <row r="957" spans="1:4" x14ac:dyDescent="0.25">
      <c r="A957" s="1">
        <v>42826</v>
      </c>
      <c r="B957">
        <f>YEAR('base-pms_spbrasil'!E957)</f>
        <v>2017</v>
      </c>
      <c r="C957">
        <f>MONTH('base-pms_spbrasil'!E957)</f>
        <v>4</v>
      </c>
      <c r="D957" s="3" t="str">
        <f>UPPER(TEXT('base-pms_spbrasil'!E957,"MMMM"))</f>
        <v>ABRIL</v>
      </c>
    </row>
    <row r="958" spans="1:4" x14ac:dyDescent="0.25">
      <c r="A958" s="1">
        <v>42856</v>
      </c>
      <c r="B958">
        <f>YEAR('base-pms_spbrasil'!E958)</f>
        <v>2017</v>
      </c>
      <c r="C958">
        <f>MONTH('base-pms_spbrasil'!E958)</f>
        <v>5</v>
      </c>
      <c r="D958" s="3" t="str">
        <f>UPPER(TEXT('base-pms_spbrasil'!E958,"MMMM"))</f>
        <v>MAIO</v>
      </c>
    </row>
    <row r="959" spans="1:4" x14ac:dyDescent="0.25">
      <c r="A959" s="1">
        <v>42887</v>
      </c>
      <c r="B959">
        <f>YEAR('base-pms_spbrasil'!E959)</f>
        <v>2017</v>
      </c>
      <c r="C959">
        <f>MONTH('base-pms_spbrasil'!E959)</f>
        <v>6</v>
      </c>
      <c r="D959" s="3" t="str">
        <f>UPPER(TEXT('base-pms_spbrasil'!E959,"MMMM"))</f>
        <v>JUNHO</v>
      </c>
    </row>
    <row r="960" spans="1:4" x14ac:dyDescent="0.25">
      <c r="A960" s="1">
        <v>42917</v>
      </c>
      <c r="B960">
        <f>YEAR('base-pms_spbrasil'!E960)</f>
        <v>2017</v>
      </c>
      <c r="C960">
        <f>MONTH('base-pms_spbrasil'!E960)</f>
        <v>7</v>
      </c>
      <c r="D960" s="3" t="str">
        <f>UPPER(TEXT('base-pms_spbrasil'!E960,"MMMM"))</f>
        <v>JULHO</v>
      </c>
    </row>
    <row r="961" spans="1:4" x14ac:dyDescent="0.25">
      <c r="A961" s="1">
        <v>42948</v>
      </c>
      <c r="B961">
        <f>YEAR('base-pms_spbrasil'!E961)</f>
        <v>2017</v>
      </c>
      <c r="C961">
        <f>MONTH('base-pms_spbrasil'!E961)</f>
        <v>8</v>
      </c>
      <c r="D961" s="3" t="str">
        <f>UPPER(TEXT('base-pms_spbrasil'!E961,"MMMM"))</f>
        <v>AGOSTO</v>
      </c>
    </row>
    <row r="962" spans="1:4" x14ac:dyDescent="0.25">
      <c r="A962" s="1">
        <v>42979</v>
      </c>
      <c r="B962">
        <f>YEAR('base-pms_spbrasil'!E962)</f>
        <v>2017</v>
      </c>
      <c r="C962">
        <f>MONTH('base-pms_spbrasil'!E962)</f>
        <v>9</v>
      </c>
      <c r="D962" s="3" t="str">
        <f>UPPER(TEXT('base-pms_spbrasil'!E962,"MMMM"))</f>
        <v>SETEMBRO</v>
      </c>
    </row>
    <row r="963" spans="1:4" x14ac:dyDescent="0.25">
      <c r="A963" s="1">
        <v>43009</v>
      </c>
      <c r="B963">
        <f>YEAR('base-pms_spbrasil'!E963)</f>
        <v>2017</v>
      </c>
      <c r="C963">
        <f>MONTH('base-pms_spbrasil'!E963)</f>
        <v>10</v>
      </c>
      <c r="D963" s="3" t="str">
        <f>UPPER(TEXT('base-pms_spbrasil'!E963,"MMMM"))</f>
        <v>OUTUBRO</v>
      </c>
    </row>
    <row r="964" spans="1:4" x14ac:dyDescent="0.25">
      <c r="A964" s="1">
        <v>43040</v>
      </c>
      <c r="B964">
        <f>YEAR('base-pms_spbrasil'!E964)</f>
        <v>2017</v>
      </c>
      <c r="C964">
        <f>MONTH('base-pms_spbrasil'!E964)</f>
        <v>11</v>
      </c>
      <c r="D964" s="3" t="str">
        <f>UPPER(TEXT('base-pms_spbrasil'!E964,"MMMM"))</f>
        <v>NOVEMBRO</v>
      </c>
    </row>
    <row r="965" spans="1:4" x14ac:dyDescent="0.25">
      <c r="A965" s="1">
        <v>43070</v>
      </c>
      <c r="B965">
        <f>YEAR('base-pms_spbrasil'!E965)</f>
        <v>2017</v>
      </c>
      <c r="C965">
        <f>MONTH('base-pms_spbrasil'!E965)</f>
        <v>12</v>
      </c>
      <c r="D965" s="3" t="str">
        <f>UPPER(TEXT('base-pms_spbrasil'!E965,"MMMM"))</f>
        <v>DEZEMBRO</v>
      </c>
    </row>
    <row r="966" spans="1:4" x14ac:dyDescent="0.25">
      <c r="A966" s="1">
        <v>43101</v>
      </c>
      <c r="B966">
        <f>YEAR('base-pms_spbrasil'!E966)</f>
        <v>2018</v>
      </c>
      <c r="C966">
        <f>MONTH('base-pms_spbrasil'!E966)</f>
        <v>1</v>
      </c>
      <c r="D966" s="3" t="str">
        <f>UPPER(TEXT('base-pms_spbrasil'!E966,"MMMM"))</f>
        <v>JANEIRO</v>
      </c>
    </row>
    <row r="967" spans="1:4" x14ac:dyDescent="0.25">
      <c r="A967" s="1">
        <v>43132</v>
      </c>
      <c r="B967">
        <f>YEAR('base-pms_spbrasil'!E967)</f>
        <v>2018</v>
      </c>
      <c r="C967">
        <f>MONTH('base-pms_spbrasil'!E967)</f>
        <v>2</v>
      </c>
      <c r="D967" s="3" t="str">
        <f>UPPER(TEXT('base-pms_spbrasil'!E967,"MMMM"))</f>
        <v>FEVEREIRO</v>
      </c>
    </row>
    <row r="968" spans="1:4" x14ac:dyDescent="0.25">
      <c r="A968" s="1">
        <v>43160</v>
      </c>
      <c r="B968">
        <f>YEAR('base-pms_spbrasil'!E968)</f>
        <v>2018</v>
      </c>
      <c r="C968">
        <f>MONTH('base-pms_spbrasil'!E968)</f>
        <v>3</v>
      </c>
      <c r="D968" s="3" t="str">
        <f>UPPER(TEXT('base-pms_spbrasil'!E968,"MMMM"))</f>
        <v>MARÇO</v>
      </c>
    </row>
    <row r="969" spans="1:4" x14ac:dyDescent="0.25">
      <c r="A969" s="1">
        <v>43191</v>
      </c>
      <c r="B969">
        <f>YEAR('base-pms_spbrasil'!E969)</f>
        <v>2018</v>
      </c>
      <c r="C969">
        <f>MONTH('base-pms_spbrasil'!E969)</f>
        <v>4</v>
      </c>
      <c r="D969" s="3" t="str">
        <f>UPPER(TEXT('base-pms_spbrasil'!E969,"MMMM"))</f>
        <v>ABRIL</v>
      </c>
    </row>
    <row r="970" spans="1:4" x14ac:dyDescent="0.25">
      <c r="A970" s="1">
        <v>43221</v>
      </c>
      <c r="B970">
        <f>YEAR('base-pms_spbrasil'!E970)</f>
        <v>2018</v>
      </c>
      <c r="C970">
        <f>MONTH('base-pms_spbrasil'!E970)</f>
        <v>5</v>
      </c>
      <c r="D970" s="3" t="str">
        <f>UPPER(TEXT('base-pms_spbrasil'!E970,"MMMM"))</f>
        <v>MAIO</v>
      </c>
    </row>
    <row r="971" spans="1:4" x14ac:dyDescent="0.25">
      <c r="A971" s="1">
        <v>43252</v>
      </c>
      <c r="B971">
        <f>YEAR('base-pms_spbrasil'!E971)</f>
        <v>2018</v>
      </c>
      <c r="C971">
        <f>MONTH('base-pms_spbrasil'!E971)</f>
        <v>6</v>
      </c>
      <c r="D971" s="3" t="str">
        <f>UPPER(TEXT('base-pms_spbrasil'!E971,"MMMM"))</f>
        <v>JUNHO</v>
      </c>
    </row>
    <row r="972" spans="1:4" x14ac:dyDescent="0.25">
      <c r="A972" s="1">
        <v>43282</v>
      </c>
      <c r="B972">
        <f>YEAR('base-pms_spbrasil'!E972)</f>
        <v>2018</v>
      </c>
      <c r="C972">
        <f>MONTH('base-pms_spbrasil'!E972)</f>
        <v>7</v>
      </c>
      <c r="D972" s="3" t="str">
        <f>UPPER(TEXT('base-pms_spbrasil'!E972,"MMMM"))</f>
        <v>JULHO</v>
      </c>
    </row>
    <row r="973" spans="1:4" x14ac:dyDescent="0.25">
      <c r="A973" s="1">
        <v>43313</v>
      </c>
      <c r="B973">
        <f>YEAR('base-pms_spbrasil'!E973)</f>
        <v>2018</v>
      </c>
      <c r="C973">
        <f>MONTH('base-pms_spbrasil'!E973)</f>
        <v>8</v>
      </c>
      <c r="D973" s="3" t="str">
        <f>UPPER(TEXT('base-pms_spbrasil'!E973,"MMMM"))</f>
        <v>AGOSTO</v>
      </c>
    </row>
    <row r="974" spans="1:4" x14ac:dyDescent="0.25">
      <c r="A974" s="1">
        <v>43344</v>
      </c>
      <c r="B974">
        <f>YEAR('base-pms_spbrasil'!E974)</f>
        <v>2018</v>
      </c>
      <c r="C974">
        <f>MONTH('base-pms_spbrasil'!E974)</f>
        <v>9</v>
      </c>
      <c r="D974" s="3" t="str">
        <f>UPPER(TEXT('base-pms_spbrasil'!E974,"MMMM"))</f>
        <v>SETEMBRO</v>
      </c>
    </row>
    <row r="975" spans="1:4" x14ac:dyDescent="0.25">
      <c r="A975" s="1">
        <v>43374</v>
      </c>
      <c r="B975">
        <f>YEAR('base-pms_spbrasil'!E975)</f>
        <v>2018</v>
      </c>
      <c r="C975">
        <f>MONTH('base-pms_spbrasil'!E975)</f>
        <v>10</v>
      </c>
      <c r="D975" s="3" t="str">
        <f>UPPER(TEXT('base-pms_spbrasil'!E975,"MMMM"))</f>
        <v>OUTUBRO</v>
      </c>
    </row>
    <row r="976" spans="1:4" x14ac:dyDescent="0.25">
      <c r="A976" s="1">
        <v>43405</v>
      </c>
      <c r="B976">
        <f>YEAR('base-pms_spbrasil'!E976)</f>
        <v>2018</v>
      </c>
      <c r="C976">
        <f>MONTH('base-pms_spbrasil'!E976)</f>
        <v>11</v>
      </c>
      <c r="D976" s="3" t="str">
        <f>UPPER(TEXT('base-pms_spbrasil'!E976,"MMMM"))</f>
        <v>NOVEMBRO</v>
      </c>
    </row>
    <row r="977" spans="1:4" x14ac:dyDescent="0.25">
      <c r="A977" s="1">
        <v>43435</v>
      </c>
      <c r="B977">
        <f>YEAR('base-pms_spbrasil'!E977)</f>
        <v>2018</v>
      </c>
      <c r="C977">
        <f>MONTH('base-pms_spbrasil'!E977)</f>
        <v>12</v>
      </c>
      <c r="D977" s="3" t="str">
        <f>UPPER(TEXT('base-pms_spbrasil'!E977,"MMMM"))</f>
        <v>DEZEMBRO</v>
      </c>
    </row>
    <row r="978" spans="1:4" x14ac:dyDescent="0.25">
      <c r="A978" s="1">
        <v>43466</v>
      </c>
      <c r="B978">
        <f>YEAR('base-pms_spbrasil'!E978)</f>
        <v>2019</v>
      </c>
      <c r="C978">
        <f>MONTH('base-pms_spbrasil'!E978)</f>
        <v>1</v>
      </c>
      <c r="D978" s="3" t="str">
        <f>UPPER(TEXT('base-pms_spbrasil'!E978,"MMMM"))</f>
        <v>JANEIRO</v>
      </c>
    </row>
    <row r="979" spans="1:4" x14ac:dyDescent="0.25">
      <c r="A979" s="1">
        <v>43497</v>
      </c>
      <c r="B979">
        <f>YEAR('base-pms_spbrasil'!E979)</f>
        <v>2019</v>
      </c>
      <c r="C979">
        <f>MONTH('base-pms_spbrasil'!E979)</f>
        <v>2</v>
      </c>
      <c r="D979" s="3" t="str">
        <f>UPPER(TEXT('base-pms_spbrasil'!E979,"MMMM"))</f>
        <v>FEVEREIRO</v>
      </c>
    </row>
    <row r="980" spans="1:4" x14ac:dyDescent="0.25">
      <c r="A980" s="1">
        <v>43525</v>
      </c>
      <c r="B980">
        <f>YEAR('base-pms_spbrasil'!E980)</f>
        <v>2019</v>
      </c>
      <c r="C980">
        <f>MONTH('base-pms_spbrasil'!E980)</f>
        <v>3</v>
      </c>
      <c r="D980" s="3" t="str">
        <f>UPPER(TEXT('base-pms_spbrasil'!E980,"MMMM"))</f>
        <v>MARÇO</v>
      </c>
    </row>
    <row r="981" spans="1:4" x14ac:dyDescent="0.25">
      <c r="A981" s="1">
        <v>43556</v>
      </c>
      <c r="B981">
        <f>YEAR('base-pms_spbrasil'!E981)</f>
        <v>2019</v>
      </c>
      <c r="C981">
        <f>MONTH('base-pms_spbrasil'!E981)</f>
        <v>4</v>
      </c>
      <c r="D981" s="3" t="str">
        <f>UPPER(TEXT('base-pms_spbrasil'!E981,"MMMM"))</f>
        <v>ABRIL</v>
      </c>
    </row>
    <row r="982" spans="1:4" x14ac:dyDescent="0.25">
      <c r="A982" s="1">
        <v>43586</v>
      </c>
      <c r="B982">
        <f>YEAR('base-pms_spbrasil'!E982)</f>
        <v>2019</v>
      </c>
      <c r="C982">
        <f>MONTH('base-pms_spbrasil'!E982)</f>
        <v>5</v>
      </c>
      <c r="D982" s="3" t="str">
        <f>UPPER(TEXT('base-pms_spbrasil'!E982,"MMMM"))</f>
        <v>MAIO</v>
      </c>
    </row>
    <row r="983" spans="1:4" x14ac:dyDescent="0.25">
      <c r="A983" s="1">
        <v>43617</v>
      </c>
      <c r="B983">
        <f>YEAR('base-pms_spbrasil'!E983)</f>
        <v>2019</v>
      </c>
      <c r="C983">
        <f>MONTH('base-pms_spbrasil'!E983)</f>
        <v>6</v>
      </c>
      <c r="D983" s="3" t="str">
        <f>UPPER(TEXT('base-pms_spbrasil'!E983,"MMMM"))</f>
        <v>JUNHO</v>
      </c>
    </row>
    <row r="984" spans="1:4" x14ac:dyDescent="0.25">
      <c r="A984" s="1">
        <v>43647</v>
      </c>
      <c r="B984">
        <f>YEAR('base-pms_spbrasil'!E984)</f>
        <v>2019</v>
      </c>
      <c r="C984">
        <f>MONTH('base-pms_spbrasil'!E984)</f>
        <v>7</v>
      </c>
      <c r="D984" s="3" t="str">
        <f>UPPER(TEXT('base-pms_spbrasil'!E984,"MMMM"))</f>
        <v>JULHO</v>
      </c>
    </row>
    <row r="985" spans="1:4" x14ac:dyDescent="0.25">
      <c r="A985" s="1">
        <v>43678</v>
      </c>
      <c r="B985">
        <f>YEAR('base-pms_spbrasil'!E985)</f>
        <v>2019</v>
      </c>
      <c r="C985">
        <f>MONTH('base-pms_spbrasil'!E985)</f>
        <v>8</v>
      </c>
      <c r="D985" s="3" t="str">
        <f>UPPER(TEXT('base-pms_spbrasil'!E985,"MMMM"))</f>
        <v>AGOSTO</v>
      </c>
    </row>
    <row r="986" spans="1:4" x14ac:dyDescent="0.25">
      <c r="A986" s="1">
        <v>43709</v>
      </c>
      <c r="B986">
        <f>YEAR('base-pms_spbrasil'!E986)</f>
        <v>2019</v>
      </c>
      <c r="C986">
        <f>MONTH('base-pms_spbrasil'!E986)</f>
        <v>9</v>
      </c>
      <c r="D986" s="3" t="str">
        <f>UPPER(TEXT('base-pms_spbrasil'!E986,"MMMM"))</f>
        <v>SETEMBRO</v>
      </c>
    </row>
    <row r="987" spans="1:4" x14ac:dyDescent="0.25">
      <c r="A987" s="1">
        <v>43739</v>
      </c>
      <c r="B987">
        <f>YEAR('base-pms_spbrasil'!E987)</f>
        <v>2019</v>
      </c>
      <c r="C987">
        <f>MONTH('base-pms_spbrasil'!E987)</f>
        <v>10</v>
      </c>
      <c r="D987" s="3" t="str">
        <f>UPPER(TEXT('base-pms_spbrasil'!E987,"MMMM"))</f>
        <v>OUTUBRO</v>
      </c>
    </row>
    <row r="988" spans="1:4" x14ac:dyDescent="0.25">
      <c r="A988" s="1">
        <v>43770</v>
      </c>
      <c r="B988">
        <f>YEAR('base-pms_spbrasil'!E988)</f>
        <v>2019</v>
      </c>
      <c r="C988">
        <f>MONTH('base-pms_spbrasil'!E988)</f>
        <v>11</v>
      </c>
      <c r="D988" s="3" t="str">
        <f>UPPER(TEXT('base-pms_spbrasil'!E988,"MMMM"))</f>
        <v>NOVEMBRO</v>
      </c>
    </row>
    <row r="989" spans="1:4" x14ac:dyDescent="0.25">
      <c r="A989" s="1">
        <v>43800</v>
      </c>
      <c r="B989">
        <f>YEAR('base-pms_spbrasil'!E989)</f>
        <v>2019</v>
      </c>
      <c r="C989">
        <f>MONTH('base-pms_spbrasil'!E989)</f>
        <v>12</v>
      </c>
      <c r="D989" s="3" t="str">
        <f>UPPER(TEXT('base-pms_spbrasil'!E989,"MMMM"))</f>
        <v>DEZEMBRO</v>
      </c>
    </row>
    <row r="990" spans="1:4" x14ac:dyDescent="0.25">
      <c r="A990" s="1">
        <v>43831</v>
      </c>
      <c r="B990">
        <f>YEAR('base-pms_spbrasil'!E990)</f>
        <v>2020</v>
      </c>
      <c r="C990">
        <f>MONTH('base-pms_spbrasil'!E990)</f>
        <v>1</v>
      </c>
      <c r="D990" s="3" t="str">
        <f>UPPER(TEXT('base-pms_spbrasil'!E990,"MMMM"))</f>
        <v>JANEIRO</v>
      </c>
    </row>
    <row r="991" spans="1:4" x14ac:dyDescent="0.25">
      <c r="A991" s="1">
        <v>43862</v>
      </c>
      <c r="B991">
        <f>YEAR('base-pms_spbrasil'!E991)</f>
        <v>2020</v>
      </c>
      <c r="C991">
        <f>MONTH('base-pms_spbrasil'!E991)</f>
        <v>2</v>
      </c>
      <c r="D991" s="3" t="str">
        <f>UPPER(TEXT('base-pms_spbrasil'!E991,"MMMM"))</f>
        <v>FEVEREIRO</v>
      </c>
    </row>
    <row r="992" spans="1:4" x14ac:dyDescent="0.25">
      <c r="A992" s="1">
        <v>43891</v>
      </c>
      <c r="B992">
        <f>YEAR('base-pms_spbrasil'!E992)</f>
        <v>2020</v>
      </c>
      <c r="C992">
        <f>MONTH('base-pms_spbrasil'!E992)</f>
        <v>3</v>
      </c>
      <c r="D992" s="3" t="str">
        <f>UPPER(TEXT('base-pms_spbrasil'!E992,"MMMM"))</f>
        <v>MARÇO</v>
      </c>
    </row>
    <row r="993" spans="1:4" x14ac:dyDescent="0.25">
      <c r="A993" s="1">
        <v>43922</v>
      </c>
      <c r="B993">
        <f>YEAR('base-pms_spbrasil'!E993)</f>
        <v>2020</v>
      </c>
      <c r="C993">
        <f>MONTH('base-pms_spbrasil'!E993)</f>
        <v>4</v>
      </c>
      <c r="D993" s="3" t="str">
        <f>UPPER(TEXT('base-pms_spbrasil'!E993,"MMMM"))</f>
        <v>ABRIL</v>
      </c>
    </row>
    <row r="994" spans="1:4" x14ac:dyDescent="0.25">
      <c r="A994" s="1">
        <v>43952</v>
      </c>
      <c r="B994">
        <f>YEAR('base-pms_spbrasil'!E994)</f>
        <v>2020</v>
      </c>
      <c r="C994">
        <f>MONTH('base-pms_spbrasil'!E994)</f>
        <v>5</v>
      </c>
      <c r="D994" s="3" t="str">
        <f>UPPER(TEXT('base-pms_spbrasil'!E994,"MMMM"))</f>
        <v>MAIO</v>
      </c>
    </row>
    <row r="995" spans="1:4" x14ac:dyDescent="0.25">
      <c r="A995" s="1">
        <v>43983</v>
      </c>
      <c r="B995">
        <f>YEAR('base-pms_spbrasil'!E995)</f>
        <v>2020</v>
      </c>
      <c r="C995">
        <f>MONTH('base-pms_spbrasil'!E995)</f>
        <v>6</v>
      </c>
      <c r="D995" s="3" t="str">
        <f>UPPER(TEXT('base-pms_spbrasil'!E995,"MMMM"))</f>
        <v>JUNHO</v>
      </c>
    </row>
    <row r="996" spans="1:4" x14ac:dyDescent="0.25">
      <c r="A996" s="1">
        <v>44013</v>
      </c>
      <c r="B996">
        <f>YEAR('base-pms_spbrasil'!E996)</f>
        <v>2020</v>
      </c>
      <c r="C996">
        <f>MONTH('base-pms_spbrasil'!E996)</f>
        <v>7</v>
      </c>
      <c r="D996" s="3" t="str">
        <f>UPPER(TEXT('base-pms_spbrasil'!E996,"MMMM"))</f>
        <v>JULHO</v>
      </c>
    </row>
    <row r="997" spans="1:4" x14ac:dyDescent="0.25">
      <c r="A997" s="1">
        <v>44044</v>
      </c>
      <c r="B997">
        <f>YEAR('base-pms_spbrasil'!E997)</f>
        <v>2020</v>
      </c>
      <c r="C997">
        <f>MONTH('base-pms_spbrasil'!E997)</f>
        <v>8</v>
      </c>
      <c r="D997" s="3" t="str">
        <f>UPPER(TEXT('base-pms_spbrasil'!E997,"MMMM"))</f>
        <v>AGOSTO</v>
      </c>
    </row>
    <row r="998" spans="1:4" x14ac:dyDescent="0.25">
      <c r="A998" s="1">
        <v>44075</v>
      </c>
      <c r="B998">
        <f>YEAR('base-pms_spbrasil'!E998)</f>
        <v>2020</v>
      </c>
      <c r="C998">
        <f>MONTH('base-pms_spbrasil'!E998)</f>
        <v>9</v>
      </c>
      <c r="D998" s="3" t="str">
        <f>UPPER(TEXT('base-pms_spbrasil'!E998,"MMMM"))</f>
        <v>SETEMBRO</v>
      </c>
    </row>
    <row r="999" spans="1:4" x14ac:dyDescent="0.25">
      <c r="A999" s="1">
        <v>44105</v>
      </c>
      <c r="B999">
        <f>YEAR('base-pms_spbrasil'!E999)</f>
        <v>2020</v>
      </c>
      <c r="C999">
        <f>MONTH('base-pms_spbrasil'!E999)</f>
        <v>10</v>
      </c>
      <c r="D999" s="3" t="str">
        <f>UPPER(TEXT('base-pms_spbrasil'!E999,"MMMM"))</f>
        <v>OUTUBRO</v>
      </c>
    </row>
    <row r="1000" spans="1:4" x14ac:dyDescent="0.25">
      <c r="A1000" s="1">
        <v>44136</v>
      </c>
      <c r="B1000">
        <f>YEAR('base-pms_spbrasil'!E1000)</f>
        <v>2020</v>
      </c>
      <c r="C1000">
        <f>MONTH('base-pms_spbrasil'!E1000)</f>
        <v>11</v>
      </c>
      <c r="D1000" s="3" t="str">
        <f>UPPER(TEXT('base-pms_spbrasil'!E1000,"MMMM"))</f>
        <v>NOVEMBRO</v>
      </c>
    </row>
    <row r="1001" spans="1:4" x14ac:dyDescent="0.25">
      <c r="A1001" s="1">
        <v>44166</v>
      </c>
      <c r="B1001">
        <f>YEAR('base-pms_spbrasil'!E1001)</f>
        <v>2020</v>
      </c>
      <c r="C1001">
        <f>MONTH('base-pms_spbrasil'!E1001)</f>
        <v>12</v>
      </c>
      <c r="D1001" s="3" t="str">
        <f>UPPER(TEXT('base-pms_spbrasil'!E1001,"MMMM"))</f>
        <v>DEZEMBRO</v>
      </c>
    </row>
    <row r="1002" spans="1:4" x14ac:dyDescent="0.25">
      <c r="A1002" s="1">
        <v>44197</v>
      </c>
      <c r="B1002">
        <f>YEAR('base-pms_spbrasil'!E1002)</f>
        <v>2021</v>
      </c>
      <c r="C1002">
        <f>MONTH('base-pms_spbrasil'!E1002)</f>
        <v>1</v>
      </c>
      <c r="D1002" s="3" t="str">
        <f>UPPER(TEXT('base-pms_spbrasil'!E1002,"MMMM"))</f>
        <v>JANEIRO</v>
      </c>
    </row>
    <row r="1003" spans="1:4" x14ac:dyDescent="0.25">
      <c r="A1003" s="1">
        <v>44228</v>
      </c>
      <c r="B1003">
        <f>YEAR('base-pms_spbrasil'!E1003)</f>
        <v>2021</v>
      </c>
      <c r="C1003">
        <f>MONTH('base-pms_spbrasil'!E1003)</f>
        <v>2</v>
      </c>
      <c r="D1003" s="3" t="str">
        <f>UPPER(TEXT('base-pms_spbrasil'!E1003,"MMMM"))</f>
        <v>FEVEREIRO</v>
      </c>
    </row>
    <row r="1004" spans="1:4" x14ac:dyDescent="0.25">
      <c r="A1004" s="1">
        <v>44256</v>
      </c>
      <c r="B1004">
        <f>YEAR('base-pms_spbrasil'!E1004)</f>
        <v>2021</v>
      </c>
      <c r="C1004">
        <f>MONTH('base-pms_spbrasil'!E1004)</f>
        <v>3</v>
      </c>
      <c r="D1004" s="3" t="str">
        <f>UPPER(TEXT('base-pms_spbrasil'!E1004,"MMMM"))</f>
        <v>MARÇO</v>
      </c>
    </row>
    <row r="1005" spans="1:4" x14ac:dyDescent="0.25">
      <c r="A1005" s="1">
        <v>44287</v>
      </c>
      <c r="B1005">
        <f>YEAR('base-pms_spbrasil'!E1005)</f>
        <v>2021</v>
      </c>
      <c r="C1005">
        <f>MONTH('base-pms_spbrasil'!E1005)</f>
        <v>4</v>
      </c>
      <c r="D1005" s="3" t="str">
        <f>UPPER(TEXT('base-pms_spbrasil'!E1005,"MMMM"))</f>
        <v>ABRIL</v>
      </c>
    </row>
    <row r="1006" spans="1:4" x14ac:dyDescent="0.25">
      <c r="A1006" s="1">
        <v>44317</v>
      </c>
      <c r="B1006">
        <f>YEAR('base-pms_spbrasil'!E1006)</f>
        <v>2021</v>
      </c>
      <c r="C1006">
        <f>MONTH('base-pms_spbrasil'!E1006)</f>
        <v>5</v>
      </c>
      <c r="D1006" s="3" t="str">
        <f>UPPER(TEXT('base-pms_spbrasil'!E1006,"MMMM"))</f>
        <v>MAIO</v>
      </c>
    </row>
    <row r="1007" spans="1:4" x14ac:dyDescent="0.25">
      <c r="A1007" s="1">
        <v>44348</v>
      </c>
      <c r="B1007">
        <f>YEAR('base-pms_spbrasil'!E1007)</f>
        <v>2021</v>
      </c>
      <c r="C1007">
        <f>MONTH('base-pms_spbrasil'!E1007)</f>
        <v>6</v>
      </c>
      <c r="D1007" s="3" t="str">
        <f>UPPER(TEXT('base-pms_spbrasil'!E1007,"MMMM"))</f>
        <v>JUNHO</v>
      </c>
    </row>
    <row r="1008" spans="1:4" x14ac:dyDescent="0.25">
      <c r="A1008" s="1">
        <v>44378</v>
      </c>
      <c r="B1008">
        <f>YEAR('base-pms_spbrasil'!E1008)</f>
        <v>2021</v>
      </c>
      <c r="C1008">
        <f>MONTH('base-pms_spbrasil'!E1008)</f>
        <v>7</v>
      </c>
      <c r="D1008" s="3" t="str">
        <f>UPPER(TEXT('base-pms_spbrasil'!E1008,"MMMM"))</f>
        <v>JULHO</v>
      </c>
    </row>
    <row r="1009" spans="1:4" x14ac:dyDescent="0.25">
      <c r="A1009" s="1">
        <v>44409</v>
      </c>
      <c r="B1009">
        <f>YEAR('base-pms_spbrasil'!E1009)</f>
        <v>2021</v>
      </c>
      <c r="C1009">
        <f>MONTH('base-pms_spbrasil'!E1009)</f>
        <v>8</v>
      </c>
      <c r="D1009" s="3" t="str">
        <f>UPPER(TEXT('base-pms_spbrasil'!E1009,"MMMM"))</f>
        <v>AGOSTO</v>
      </c>
    </row>
    <row r="1010" spans="1:4" x14ac:dyDescent="0.25">
      <c r="A1010" s="1">
        <v>44440</v>
      </c>
      <c r="B1010">
        <f>YEAR('base-pms_spbrasil'!E1010)</f>
        <v>2021</v>
      </c>
      <c r="C1010">
        <f>MONTH('base-pms_spbrasil'!E1010)</f>
        <v>9</v>
      </c>
      <c r="D1010" s="3" t="str">
        <f>UPPER(TEXT('base-pms_spbrasil'!E1010,"MMMM"))</f>
        <v>SETEMBRO</v>
      </c>
    </row>
    <row r="1011" spans="1:4" x14ac:dyDescent="0.25">
      <c r="A1011" s="1">
        <v>44470</v>
      </c>
      <c r="B1011">
        <f>YEAR('base-pms_spbrasil'!E1011)</f>
        <v>2021</v>
      </c>
      <c r="C1011">
        <f>MONTH('base-pms_spbrasil'!E1011)</f>
        <v>10</v>
      </c>
      <c r="D1011" s="3" t="str">
        <f>UPPER(TEXT('base-pms_spbrasil'!E1011,"MMMM"))</f>
        <v>OUTUBRO</v>
      </c>
    </row>
    <row r="1012" spans="1:4" x14ac:dyDescent="0.25">
      <c r="A1012" s="1">
        <v>44501</v>
      </c>
      <c r="B1012">
        <f>YEAR('base-pms_spbrasil'!E1012)</f>
        <v>2021</v>
      </c>
      <c r="C1012">
        <f>MONTH('base-pms_spbrasil'!E1012)</f>
        <v>11</v>
      </c>
      <c r="D1012" s="3" t="str">
        <f>UPPER(TEXT('base-pms_spbrasil'!E1012,"MMMM"))</f>
        <v>NOVEMBRO</v>
      </c>
    </row>
    <row r="1013" spans="1:4" x14ac:dyDescent="0.25">
      <c r="A1013" s="1">
        <v>44531</v>
      </c>
      <c r="B1013">
        <f>YEAR('base-pms_spbrasil'!E1013)</f>
        <v>2021</v>
      </c>
      <c r="C1013">
        <f>MONTH('base-pms_spbrasil'!E1013)</f>
        <v>12</v>
      </c>
      <c r="D1013" s="3" t="str">
        <f>UPPER(TEXT('base-pms_spbrasil'!E1013,"MMMM"))</f>
        <v>DEZEMBRO</v>
      </c>
    </row>
    <row r="1014" spans="1:4" x14ac:dyDescent="0.25">
      <c r="A1014" s="1">
        <v>44562</v>
      </c>
      <c r="B1014">
        <f>YEAR('base-pms_spbrasil'!E1014)</f>
        <v>2022</v>
      </c>
      <c r="C1014">
        <f>MONTH('base-pms_spbrasil'!E1014)</f>
        <v>1</v>
      </c>
      <c r="D1014" s="3" t="str">
        <f>UPPER(TEXT('base-pms_spbrasil'!E1014,"MMMM"))</f>
        <v>JANEIRO</v>
      </c>
    </row>
    <row r="1015" spans="1:4" x14ac:dyDescent="0.25">
      <c r="A1015" s="1">
        <v>44593</v>
      </c>
      <c r="B1015">
        <f>YEAR('base-pms_spbrasil'!E1015)</f>
        <v>2022</v>
      </c>
      <c r="C1015">
        <f>MONTH('base-pms_spbrasil'!E1015)</f>
        <v>2</v>
      </c>
      <c r="D1015" s="3" t="str">
        <f>UPPER(TEXT('base-pms_spbrasil'!E1015,"MMMM"))</f>
        <v>FEVEREIRO</v>
      </c>
    </row>
    <row r="1016" spans="1:4" x14ac:dyDescent="0.25">
      <c r="A1016" s="1">
        <v>44621</v>
      </c>
      <c r="B1016">
        <f>YEAR('base-pms_spbrasil'!E1016)</f>
        <v>2022</v>
      </c>
      <c r="C1016">
        <f>MONTH('base-pms_spbrasil'!E1016)</f>
        <v>3</v>
      </c>
      <c r="D1016" s="3" t="str">
        <f>UPPER(TEXT('base-pms_spbrasil'!E1016,"MMMM"))</f>
        <v>MARÇO</v>
      </c>
    </row>
    <row r="1017" spans="1:4" x14ac:dyDescent="0.25">
      <c r="A1017" s="1">
        <v>44652</v>
      </c>
      <c r="B1017">
        <f>YEAR('base-pms_spbrasil'!E1017)</f>
        <v>2022</v>
      </c>
      <c r="C1017">
        <f>MONTH('base-pms_spbrasil'!E1017)</f>
        <v>4</v>
      </c>
      <c r="D1017" s="3" t="str">
        <f>UPPER(TEXT('base-pms_spbrasil'!E1017,"MMMM"))</f>
        <v>ABRIL</v>
      </c>
    </row>
    <row r="1018" spans="1:4" x14ac:dyDescent="0.25">
      <c r="A1018" s="1">
        <v>44682</v>
      </c>
      <c r="B1018">
        <f>YEAR('base-pms_spbrasil'!E1018)</f>
        <v>2022</v>
      </c>
      <c r="C1018">
        <f>MONTH('base-pms_spbrasil'!E1018)</f>
        <v>5</v>
      </c>
      <c r="D1018" s="3" t="str">
        <f>UPPER(TEXT('base-pms_spbrasil'!E1018,"MMMM"))</f>
        <v>MAIO</v>
      </c>
    </row>
    <row r="1019" spans="1:4" x14ac:dyDescent="0.25">
      <c r="A1019" s="1">
        <v>44713</v>
      </c>
      <c r="B1019">
        <f>YEAR('base-pms_spbrasil'!E1019)</f>
        <v>2022</v>
      </c>
      <c r="C1019">
        <f>MONTH('base-pms_spbrasil'!E1019)</f>
        <v>6</v>
      </c>
      <c r="D1019" s="3" t="str">
        <f>UPPER(TEXT('base-pms_spbrasil'!E1019,"MMMM"))</f>
        <v>JUNHO</v>
      </c>
    </row>
    <row r="1020" spans="1:4" x14ac:dyDescent="0.25">
      <c r="A1020" s="1">
        <v>44743</v>
      </c>
      <c r="B1020">
        <f>YEAR('base-pms_spbrasil'!E1020)</f>
        <v>2022</v>
      </c>
      <c r="C1020">
        <f>MONTH('base-pms_spbrasil'!E1020)</f>
        <v>7</v>
      </c>
      <c r="D1020" s="3" t="str">
        <f>UPPER(TEXT('base-pms_spbrasil'!E1020,"MMMM"))</f>
        <v>JULHO</v>
      </c>
    </row>
    <row r="1021" spans="1:4" x14ac:dyDescent="0.25">
      <c r="A1021" s="1">
        <v>44774</v>
      </c>
      <c r="B1021">
        <f>YEAR('base-pms_spbrasil'!E1021)</f>
        <v>2022</v>
      </c>
      <c r="C1021">
        <f>MONTH('base-pms_spbrasil'!E1021)</f>
        <v>8</v>
      </c>
      <c r="D1021" s="3" t="str">
        <f>UPPER(TEXT('base-pms_spbrasil'!E1021,"MMMM"))</f>
        <v>AGOSTO</v>
      </c>
    </row>
    <row r="1022" spans="1:4" x14ac:dyDescent="0.25">
      <c r="A1022" s="1">
        <v>44805</v>
      </c>
      <c r="B1022">
        <f>YEAR('base-pms_spbrasil'!E1022)</f>
        <v>2022</v>
      </c>
      <c r="C1022">
        <f>MONTH('base-pms_spbrasil'!E1022)</f>
        <v>9</v>
      </c>
      <c r="D1022" s="3" t="str">
        <f>UPPER(TEXT('base-pms_spbrasil'!E1022,"MMMM"))</f>
        <v>SETEMBRO</v>
      </c>
    </row>
    <row r="1023" spans="1:4" x14ac:dyDescent="0.25">
      <c r="A1023" s="1">
        <v>44835</v>
      </c>
      <c r="B1023">
        <f>YEAR('base-pms_spbrasil'!E1023)</f>
        <v>2022</v>
      </c>
      <c r="C1023">
        <f>MONTH('base-pms_spbrasil'!E1023)</f>
        <v>10</v>
      </c>
      <c r="D1023" s="3" t="str">
        <f>UPPER(TEXT('base-pms_spbrasil'!E1023,"MMMM"))</f>
        <v>OUTUBRO</v>
      </c>
    </row>
    <row r="1024" spans="1:4" x14ac:dyDescent="0.25">
      <c r="A1024" s="1">
        <v>44866</v>
      </c>
      <c r="B1024">
        <f>YEAR('base-pms_spbrasil'!E1024)</f>
        <v>2022</v>
      </c>
      <c r="C1024">
        <f>MONTH('base-pms_spbrasil'!E1024)</f>
        <v>11</v>
      </c>
      <c r="D1024" s="3" t="str">
        <f>UPPER(TEXT('base-pms_spbrasil'!E1024,"MMMM"))</f>
        <v>NOVEMBRO</v>
      </c>
    </row>
    <row r="1025" spans="1:4" x14ac:dyDescent="0.25">
      <c r="A1025" s="1">
        <v>44896</v>
      </c>
      <c r="B1025">
        <f>YEAR('base-pms_spbrasil'!E1025)</f>
        <v>2022</v>
      </c>
      <c r="C1025">
        <f>MONTH('base-pms_spbrasil'!E1025)</f>
        <v>12</v>
      </c>
      <c r="D1025" s="3" t="str">
        <f>UPPER(TEXT('base-pms_spbrasil'!E1025,"MMMM"))</f>
        <v>DEZEMBRO</v>
      </c>
    </row>
    <row r="1026" spans="1:4" x14ac:dyDescent="0.25">
      <c r="A1026" s="1">
        <v>44927</v>
      </c>
      <c r="B1026">
        <f>YEAR('base-pms_spbrasil'!E1026)</f>
        <v>2023</v>
      </c>
      <c r="C1026">
        <f>MONTH('base-pms_spbrasil'!E1026)</f>
        <v>1</v>
      </c>
      <c r="D1026" s="3" t="str">
        <f>UPPER(TEXT('base-pms_spbrasil'!E1026,"MMMM"))</f>
        <v>JANEIRO</v>
      </c>
    </row>
    <row r="1027" spans="1:4" x14ac:dyDescent="0.25">
      <c r="A1027" s="1">
        <v>44958</v>
      </c>
      <c r="B1027">
        <f>YEAR('base-pms_spbrasil'!E1027)</f>
        <v>2023</v>
      </c>
      <c r="C1027">
        <f>MONTH('base-pms_spbrasil'!E1027)</f>
        <v>2</v>
      </c>
      <c r="D1027" s="3" t="str">
        <f>UPPER(TEXT('base-pms_spbrasil'!E1027,"MMMM"))</f>
        <v>FEVEREIRO</v>
      </c>
    </row>
    <row r="1028" spans="1:4" x14ac:dyDescent="0.25">
      <c r="A1028" s="1">
        <v>44986</v>
      </c>
      <c r="B1028">
        <f>YEAR('base-pms_spbrasil'!E1028)</f>
        <v>2023</v>
      </c>
      <c r="C1028">
        <f>MONTH('base-pms_spbrasil'!E1028)</f>
        <v>3</v>
      </c>
      <c r="D1028" s="3" t="str">
        <f>UPPER(TEXT('base-pms_spbrasil'!E1028,"MMMM"))</f>
        <v>MARÇO</v>
      </c>
    </row>
    <row r="1029" spans="1:4" x14ac:dyDescent="0.25">
      <c r="A1029" s="1">
        <v>45017</v>
      </c>
      <c r="B1029">
        <f>YEAR('base-pms_spbrasil'!E1029)</f>
        <v>2023</v>
      </c>
      <c r="C1029">
        <f>MONTH('base-pms_spbrasil'!E1029)</f>
        <v>4</v>
      </c>
      <c r="D1029" s="3" t="str">
        <f>UPPER(TEXT('base-pms_spbrasil'!E1029,"MMMM"))</f>
        <v>ABRIL</v>
      </c>
    </row>
    <row r="1030" spans="1:4" x14ac:dyDescent="0.25">
      <c r="A1030" s="1">
        <v>45047</v>
      </c>
      <c r="B1030">
        <f>YEAR('base-pms_spbrasil'!E1030)</f>
        <v>2023</v>
      </c>
      <c r="C1030">
        <f>MONTH('base-pms_spbrasil'!E1030)</f>
        <v>5</v>
      </c>
      <c r="D1030" s="3" t="str">
        <f>UPPER(TEXT('base-pms_spbrasil'!E1030,"MMMM"))</f>
        <v>MAIO</v>
      </c>
    </row>
    <row r="1031" spans="1:4" x14ac:dyDescent="0.25">
      <c r="A1031" s="1">
        <v>45078</v>
      </c>
      <c r="B1031">
        <f>YEAR('base-pms_spbrasil'!E1031)</f>
        <v>2023</v>
      </c>
      <c r="C1031">
        <f>MONTH('base-pms_spbrasil'!E1031)</f>
        <v>6</v>
      </c>
      <c r="D1031" s="3" t="str">
        <f>UPPER(TEXT('base-pms_spbrasil'!E1031,"MMMM"))</f>
        <v>JUNHO</v>
      </c>
    </row>
    <row r="1032" spans="1:4" x14ac:dyDescent="0.25">
      <c r="A1032" s="1">
        <v>45108</v>
      </c>
      <c r="B1032">
        <f>YEAR('base-pms_spbrasil'!E1032)</f>
        <v>2023</v>
      </c>
      <c r="C1032">
        <f>MONTH('base-pms_spbrasil'!E1032)</f>
        <v>7</v>
      </c>
      <c r="D1032" s="3" t="str">
        <f>UPPER(TEXT('base-pms_spbrasil'!E1032,"MMMM"))</f>
        <v>JULHO</v>
      </c>
    </row>
    <row r="1033" spans="1:4" x14ac:dyDescent="0.25">
      <c r="A1033" s="1">
        <v>45139</v>
      </c>
      <c r="B1033">
        <f>YEAR('base-pms_spbrasil'!E1033)</f>
        <v>2023</v>
      </c>
      <c r="C1033">
        <f>MONTH('base-pms_spbrasil'!E1033)</f>
        <v>8</v>
      </c>
      <c r="D1033" s="3" t="str">
        <f>UPPER(TEXT('base-pms_spbrasil'!E1033,"MMMM"))</f>
        <v>AGOSTO</v>
      </c>
    </row>
    <row r="1034" spans="1:4" x14ac:dyDescent="0.25">
      <c r="A1034" s="1">
        <v>45170</v>
      </c>
      <c r="B1034">
        <f>YEAR('base-pms_spbrasil'!E1034)</f>
        <v>2023</v>
      </c>
      <c r="C1034">
        <f>MONTH('base-pms_spbrasil'!E1034)</f>
        <v>9</v>
      </c>
      <c r="D1034" s="3" t="str">
        <f>UPPER(TEXT('base-pms_spbrasil'!E1034,"MMMM"))</f>
        <v>SETEMBRO</v>
      </c>
    </row>
    <row r="1035" spans="1:4" x14ac:dyDescent="0.25">
      <c r="A1035" s="1">
        <v>45200</v>
      </c>
      <c r="B1035">
        <f>YEAR('base-pms_spbrasil'!E1035)</f>
        <v>2023</v>
      </c>
      <c r="C1035">
        <f>MONTH('base-pms_spbrasil'!E1035)</f>
        <v>10</v>
      </c>
      <c r="D1035" s="3" t="str">
        <f>UPPER(TEXT('base-pms_spbrasil'!E1035,"MMMM"))</f>
        <v>OUTUBRO</v>
      </c>
    </row>
    <row r="1036" spans="1:4" x14ac:dyDescent="0.25">
      <c r="A1036" s="1">
        <v>45231</v>
      </c>
      <c r="B1036">
        <f>YEAR('base-pms_spbrasil'!E1036)</f>
        <v>2023</v>
      </c>
      <c r="C1036">
        <f>MONTH('base-pms_spbrasil'!E1036)</f>
        <v>11</v>
      </c>
      <c r="D1036" s="3" t="str">
        <f>UPPER(TEXT('base-pms_spbrasil'!E1036,"MMMM"))</f>
        <v>NOVEMBRO</v>
      </c>
    </row>
    <row r="1037" spans="1:4" x14ac:dyDescent="0.25">
      <c r="A1037" s="1">
        <v>45261</v>
      </c>
      <c r="B1037">
        <f>YEAR('base-pms_spbrasil'!E1037)</f>
        <v>2023</v>
      </c>
      <c r="C1037">
        <f>MONTH('base-pms_spbrasil'!E1037)</f>
        <v>12</v>
      </c>
      <c r="D1037" s="3" t="str">
        <f>UPPER(TEXT('base-pms_spbrasil'!E1037,"MMMM"))</f>
        <v>DEZEMBRO</v>
      </c>
    </row>
    <row r="1038" spans="1:4" x14ac:dyDescent="0.25">
      <c r="A1038" s="1">
        <v>45292</v>
      </c>
      <c r="B1038">
        <f>YEAR('base-pms_spbrasil'!E1038)</f>
        <v>2024</v>
      </c>
      <c r="C1038">
        <f>MONTH('base-pms_spbrasil'!E1038)</f>
        <v>1</v>
      </c>
      <c r="D1038" s="3" t="str">
        <f>UPPER(TEXT('base-pms_spbrasil'!E1038,"MMMM"))</f>
        <v>JANEIRO</v>
      </c>
    </row>
    <row r="1039" spans="1:4" x14ac:dyDescent="0.25">
      <c r="A1039" s="1">
        <v>45323</v>
      </c>
      <c r="B1039">
        <f>YEAR('base-pms_spbrasil'!E1039)</f>
        <v>2024</v>
      </c>
      <c r="C1039">
        <f>MONTH('base-pms_spbrasil'!E1039)</f>
        <v>2</v>
      </c>
      <c r="D1039" s="3" t="str">
        <f>UPPER(TEXT('base-pms_spbrasil'!E1039,"MMMM"))</f>
        <v>FEVEREIRO</v>
      </c>
    </row>
    <row r="1040" spans="1:4" x14ac:dyDescent="0.25">
      <c r="A1040" s="1">
        <v>45352</v>
      </c>
      <c r="B1040">
        <f>YEAR('base-pms_spbrasil'!E1040)</f>
        <v>2024</v>
      </c>
      <c r="C1040">
        <f>MONTH('base-pms_spbrasil'!E1040)</f>
        <v>3</v>
      </c>
      <c r="D1040" s="3" t="str">
        <f>UPPER(TEXT('base-pms_spbrasil'!E1040,"MMMM"))</f>
        <v>MARÇO</v>
      </c>
    </row>
    <row r="1041" spans="1:4" x14ac:dyDescent="0.25">
      <c r="A1041" s="1">
        <v>45383</v>
      </c>
      <c r="B1041">
        <f>YEAR('base-pms_spbrasil'!E1041)</f>
        <v>2024</v>
      </c>
      <c r="C1041">
        <f>MONTH('base-pms_spbrasil'!E1041)</f>
        <v>4</v>
      </c>
      <c r="D1041" s="3" t="str">
        <f>UPPER(TEXT('base-pms_spbrasil'!E1041,"MMMM"))</f>
        <v>ABRIL</v>
      </c>
    </row>
    <row r="1042" spans="1:4" x14ac:dyDescent="0.25">
      <c r="A1042" s="1">
        <v>45413</v>
      </c>
      <c r="B1042">
        <f>YEAR('base-pms_spbrasil'!E1042)</f>
        <v>2024</v>
      </c>
      <c r="C1042">
        <f>MONTH('base-pms_spbrasil'!E1042)</f>
        <v>5</v>
      </c>
      <c r="D1042" s="3" t="str">
        <f>UPPER(TEXT('base-pms_spbrasil'!E1042,"MMMM"))</f>
        <v>MAIO</v>
      </c>
    </row>
    <row r="1043" spans="1:4" x14ac:dyDescent="0.25">
      <c r="A1043" s="1">
        <v>45444</v>
      </c>
      <c r="B1043">
        <f>YEAR('base-pms_spbrasil'!E1043)</f>
        <v>2024</v>
      </c>
      <c r="C1043">
        <f>MONTH('base-pms_spbrasil'!E1043)</f>
        <v>6</v>
      </c>
      <c r="D1043" s="3" t="str">
        <f>UPPER(TEXT('base-pms_spbrasil'!E1043,"MMMM"))</f>
        <v>JUNHO</v>
      </c>
    </row>
    <row r="1044" spans="1:4" x14ac:dyDescent="0.25">
      <c r="A1044" s="1">
        <v>45474</v>
      </c>
      <c r="B1044">
        <f>YEAR('base-pms_spbrasil'!E1044)</f>
        <v>2024</v>
      </c>
      <c r="C1044">
        <f>MONTH('base-pms_spbrasil'!E1044)</f>
        <v>7</v>
      </c>
      <c r="D1044" s="3" t="str">
        <f>UPPER(TEXT('base-pms_spbrasil'!E1044,"MMMM"))</f>
        <v>JULHO</v>
      </c>
    </row>
    <row r="1045" spans="1:4" x14ac:dyDescent="0.25">
      <c r="A1045" s="1">
        <v>45505</v>
      </c>
      <c r="B1045">
        <f>YEAR('base-pms_spbrasil'!E1045)</f>
        <v>2024</v>
      </c>
      <c r="C1045">
        <f>MONTH('base-pms_spbrasil'!E1045)</f>
        <v>8</v>
      </c>
      <c r="D1045" s="3" t="str">
        <f>UPPER(TEXT('base-pms_spbrasil'!E1045,"MMMM"))</f>
        <v>AGOSTO</v>
      </c>
    </row>
    <row r="1046" spans="1:4" x14ac:dyDescent="0.25">
      <c r="A1046" s="1">
        <v>45536</v>
      </c>
      <c r="B1046">
        <f>YEAR('base-pms_spbrasil'!E1046)</f>
        <v>2024</v>
      </c>
      <c r="C1046">
        <f>MONTH('base-pms_spbrasil'!E1046)</f>
        <v>9</v>
      </c>
      <c r="D1046" s="3" t="str">
        <f>UPPER(TEXT('base-pms_spbrasil'!E1046,"MMMM"))</f>
        <v>SETEMBRO</v>
      </c>
    </row>
    <row r="1047" spans="1:4" x14ac:dyDescent="0.25">
      <c r="A1047" s="1">
        <v>45566</v>
      </c>
      <c r="B1047">
        <f>YEAR('base-pms_spbrasil'!E1047)</f>
        <v>2024</v>
      </c>
      <c r="C1047">
        <f>MONTH('base-pms_spbrasil'!E1047)</f>
        <v>10</v>
      </c>
      <c r="D1047" s="3" t="str">
        <f>UPPER(TEXT('base-pms_spbrasil'!E1047,"MMMM"))</f>
        <v>OUTUBRO</v>
      </c>
    </row>
    <row r="1048" spans="1:4" x14ac:dyDescent="0.25">
      <c r="A1048" s="1">
        <v>45597</v>
      </c>
      <c r="B1048">
        <f>YEAR('base-pms_spbrasil'!E1048)</f>
        <v>2024</v>
      </c>
      <c r="C1048">
        <f>MONTH('base-pms_spbrasil'!E1048)</f>
        <v>11</v>
      </c>
      <c r="D1048" s="3" t="str">
        <f>UPPER(TEXT('base-pms_spbrasil'!E1048,"MMMM"))</f>
        <v>NOVEMBRO</v>
      </c>
    </row>
    <row r="1049" spans="1:4" x14ac:dyDescent="0.25">
      <c r="A1049" s="1">
        <v>45627</v>
      </c>
      <c r="B1049">
        <f>YEAR('base-pms_spbrasil'!E1049)</f>
        <v>2024</v>
      </c>
      <c r="C1049">
        <f>MONTH('base-pms_spbrasil'!E1049)</f>
        <v>12</v>
      </c>
      <c r="D1049" s="3" t="str">
        <f>UPPER(TEXT('base-pms_spbrasil'!E1049,"MMMM"))</f>
        <v>DEZEMBRO</v>
      </c>
    </row>
    <row r="1050" spans="1:4" x14ac:dyDescent="0.25">
      <c r="A1050" s="1">
        <v>45658</v>
      </c>
      <c r="B1050">
        <f>YEAR('base-pms_spbrasil'!E1050)</f>
        <v>2025</v>
      </c>
      <c r="C1050">
        <f>MONTH('base-pms_spbrasil'!E1050)</f>
        <v>1</v>
      </c>
      <c r="D1050" s="3" t="str">
        <f>UPPER(TEXT('base-pms_spbrasil'!E1050,"MMMM"))</f>
        <v>JANEIRO</v>
      </c>
    </row>
    <row r="1051" spans="1:4" x14ac:dyDescent="0.25">
      <c r="A1051" s="1">
        <v>45689</v>
      </c>
      <c r="B1051">
        <f>YEAR('base-pms_spbrasil'!E1051)</f>
        <v>2025</v>
      </c>
      <c r="C1051">
        <f>MONTH('base-pms_spbrasil'!E1051)</f>
        <v>2</v>
      </c>
      <c r="D1051" s="3" t="str">
        <f>UPPER(TEXT('base-pms_spbrasil'!E1051,"MMMM"))</f>
        <v>FEVEREIRO</v>
      </c>
    </row>
    <row r="1052" spans="1:4" x14ac:dyDescent="0.25">
      <c r="A1052" s="1">
        <v>45717</v>
      </c>
      <c r="B1052">
        <f>YEAR('base-pms_spbrasil'!E1052)</f>
        <v>2025</v>
      </c>
      <c r="C1052">
        <f>MONTH('base-pms_spbrasil'!E1052)</f>
        <v>3</v>
      </c>
      <c r="D1052" s="3" t="str">
        <f>UPPER(TEXT('base-pms_spbrasil'!E1052,"MMMM"))</f>
        <v>MARÇO</v>
      </c>
    </row>
    <row r="1053" spans="1:4" x14ac:dyDescent="0.25">
      <c r="A1053" s="1">
        <v>45748</v>
      </c>
      <c r="B1053">
        <f>YEAR('base-pms_spbrasil'!E1053)</f>
        <v>2025</v>
      </c>
      <c r="C1053">
        <f>MONTH('base-pms_spbrasil'!E1053)</f>
        <v>4</v>
      </c>
      <c r="D1053" s="3" t="str">
        <f>UPPER(TEXT('base-pms_spbrasil'!E1053,"MMMM"))</f>
        <v>ABRIL</v>
      </c>
    </row>
    <row r="1054" spans="1:4" x14ac:dyDescent="0.25">
      <c r="A1054" s="1">
        <v>45778</v>
      </c>
      <c r="B1054">
        <f>YEAR('base-pms_spbrasil'!E1054)</f>
        <v>2025</v>
      </c>
      <c r="C1054">
        <f>MONTH('base-pms_spbrasil'!E1054)</f>
        <v>5</v>
      </c>
      <c r="D1054" s="3" t="str">
        <f>UPPER(TEXT('base-pms_spbrasil'!E1054,"MMMM"))</f>
        <v>MAIO</v>
      </c>
    </row>
    <row r="1055" spans="1:4" x14ac:dyDescent="0.25">
      <c r="A1055" s="1">
        <v>45809</v>
      </c>
      <c r="B1055">
        <f>YEAR('base-pms_spbrasil'!E1055)</f>
        <v>2025</v>
      </c>
      <c r="C1055">
        <f>MONTH('base-pms_spbrasil'!E1055)</f>
        <v>6</v>
      </c>
      <c r="D1055" s="3" t="str">
        <f>UPPER(TEXT('base-pms_spbrasil'!E1055,"MMMM"))</f>
        <v>JUNHO</v>
      </c>
    </row>
    <row r="1056" spans="1:4" x14ac:dyDescent="0.25">
      <c r="A1056" s="1">
        <v>45839</v>
      </c>
      <c r="B1056">
        <f>YEAR('base-pms_spbrasil'!E1056)</f>
        <v>2025</v>
      </c>
      <c r="C1056">
        <f>MONTH('base-pms_spbrasil'!E1056)</f>
        <v>7</v>
      </c>
      <c r="D1056" s="3" t="str">
        <f>UPPER(TEXT('base-pms_spbrasil'!E1056,"MMMM"))</f>
        <v>JULHO</v>
      </c>
    </row>
    <row r="1057" spans="1:4" x14ac:dyDescent="0.25">
      <c r="A1057" s="1">
        <v>45870</v>
      </c>
      <c r="B1057">
        <f>YEAR('base-pms_spbrasil'!E1057)</f>
        <v>2025</v>
      </c>
      <c r="C1057">
        <f>MONTH('base-pms_spbrasil'!E1057)</f>
        <v>8</v>
      </c>
      <c r="D1057" s="3" t="str">
        <f>UPPER(TEXT('base-pms_spbrasil'!E1057,"MMMM"))</f>
        <v>AGOSTO</v>
      </c>
    </row>
    <row r="1058" spans="1:4" x14ac:dyDescent="0.25">
      <c r="A1058" s="1">
        <v>40544</v>
      </c>
      <c r="B1058">
        <f>YEAR('base-pms_spbrasil'!E1058)</f>
        <v>2011</v>
      </c>
      <c r="C1058">
        <f>MONTH('base-pms_spbrasil'!E1058)</f>
        <v>1</v>
      </c>
      <c r="D1058" s="3" t="str">
        <f>UPPER(TEXT('base-pms_spbrasil'!E1058,"MMMM"))</f>
        <v>JANEIRO</v>
      </c>
    </row>
    <row r="1059" spans="1:4" x14ac:dyDescent="0.25">
      <c r="A1059" s="1">
        <v>40575</v>
      </c>
      <c r="B1059">
        <f>YEAR('base-pms_spbrasil'!E1059)</f>
        <v>2011</v>
      </c>
      <c r="C1059">
        <f>MONTH('base-pms_spbrasil'!E1059)</f>
        <v>2</v>
      </c>
      <c r="D1059" s="3" t="str">
        <f>UPPER(TEXT('base-pms_spbrasil'!E1059,"MMMM"))</f>
        <v>FEVEREIRO</v>
      </c>
    </row>
    <row r="1060" spans="1:4" x14ac:dyDescent="0.25">
      <c r="A1060" s="1">
        <v>40603</v>
      </c>
      <c r="B1060">
        <f>YEAR('base-pms_spbrasil'!E1060)</f>
        <v>2011</v>
      </c>
      <c r="C1060">
        <f>MONTH('base-pms_spbrasil'!E1060)</f>
        <v>3</v>
      </c>
      <c r="D1060" s="3" t="str">
        <f>UPPER(TEXT('base-pms_spbrasil'!E1060,"MMMM"))</f>
        <v>MARÇO</v>
      </c>
    </row>
    <row r="1061" spans="1:4" x14ac:dyDescent="0.25">
      <c r="A1061" s="1">
        <v>40634</v>
      </c>
      <c r="B1061">
        <f>YEAR('base-pms_spbrasil'!E1061)</f>
        <v>2011</v>
      </c>
      <c r="C1061">
        <f>MONTH('base-pms_spbrasil'!E1061)</f>
        <v>4</v>
      </c>
      <c r="D1061" s="3" t="str">
        <f>UPPER(TEXT('base-pms_spbrasil'!E1061,"MMMM"))</f>
        <v>ABRIL</v>
      </c>
    </row>
    <row r="1062" spans="1:4" x14ac:dyDescent="0.25">
      <c r="A1062" s="1">
        <v>40664</v>
      </c>
      <c r="B1062">
        <f>YEAR('base-pms_spbrasil'!E1062)</f>
        <v>2011</v>
      </c>
      <c r="C1062">
        <f>MONTH('base-pms_spbrasil'!E1062)</f>
        <v>5</v>
      </c>
      <c r="D1062" s="3" t="str">
        <f>UPPER(TEXT('base-pms_spbrasil'!E1062,"MMMM"))</f>
        <v>MAIO</v>
      </c>
    </row>
    <row r="1063" spans="1:4" x14ac:dyDescent="0.25">
      <c r="A1063" s="1">
        <v>40695</v>
      </c>
      <c r="B1063">
        <f>YEAR('base-pms_spbrasil'!E1063)</f>
        <v>2011</v>
      </c>
      <c r="C1063">
        <f>MONTH('base-pms_spbrasil'!E1063)</f>
        <v>6</v>
      </c>
      <c r="D1063" s="3" t="str">
        <f>UPPER(TEXT('base-pms_spbrasil'!E1063,"MMMM"))</f>
        <v>JUNHO</v>
      </c>
    </row>
    <row r="1064" spans="1:4" x14ac:dyDescent="0.25">
      <c r="A1064" s="1">
        <v>40725</v>
      </c>
      <c r="B1064">
        <f>YEAR('base-pms_spbrasil'!E1064)</f>
        <v>2011</v>
      </c>
      <c r="C1064">
        <f>MONTH('base-pms_spbrasil'!E1064)</f>
        <v>7</v>
      </c>
      <c r="D1064" s="3" t="str">
        <f>UPPER(TEXT('base-pms_spbrasil'!E1064,"MMMM"))</f>
        <v>JULHO</v>
      </c>
    </row>
    <row r="1065" spans="1:4" x14ac:dyDescent="0.25">
      <c r="A1065" s="1">
        <v>40756</v>
      </c>
      <c r="B1065">
        <f>YEAR('base-pms_spbrasil'!E1065)</f>
        <v>2011</v>
      </c>
      <c r="C1065">
        <f>MONTH('base-pms_spbrasil'!E1065)</f>
        <v>8</v>
      </c>
      <c r="D1065" s="3" t="str">
        <f>UPPER(TEXT('base-pms_spbrasil'!E1065,"MMMM"))</f>
        <v>AGOSTO</v>
      </c>
    </row>
    <row r="1066" spans="1:4" x14ac:dyDescent="0.25">
      <c r="A1066" s="1">
        <v>40787</v>
      </c>
      <c r="B1066">
        <f>YEAR('base-pms_spbrasil'!E1066)</f>
        <v>2011</v>
      </c>
      <c r="C1066">
        <f>MONTH('base-pms_spbrasil'!E1066)</f>
        <v>9</v>
      </c>
      <c r="D1066" s="3" t="str">
        <f>UPPER(TEXT('base-pms_spbrasil'!E1066,"MMMM"))</f>
        <v>SETEMBRO</v>
      </c>
    </row>
    <row r="1067" spans="1:4" x14ac:dyDescent="0.25">
      <c r="A1067" s="1">
        <v>40817</v>
      </c>
      <c r="B1067">
        <f>YEAR('base-pms_spbrasil'!E1067)</f>
        <v>2011</v>
      </c>
      <c r="C1067">
        <f>MONTH('base-pms_spbrasil'!E1067)</f>
        <v>10</v>
      </c>
      <c r="D1067" s="3" t="str">
        <f>UPPER(TEXT('base-pms_spbrasil'!E1067,"MMMM"))</f>
        <v>OUTUBRO</v>
      </c>
    </row>
    <row r="1068" spans="1:4" x14ac:dyDescent="0.25">
      <c r="A1068" s="1">
        <v>40848</v>
      </c>
      <c r="B1068">
        <f>YEAR('base-pms_spbrasil'!E1068)</f>
        <v>2011</v>
      </c>
      <c r="C1068">
        <f>MONTH('base-pms_spbrasil'!E1068)</f>
        <v>11</v>
      </c>
      <c r="D1068" s="3" t="str">
        <f>UPPER(TEXT('base-pms_spbrasil'!E1068,"MMMM"))</f>
        <v>NOVEMBRO</v>
      </c>
    </row>
    <row r="1069" spans="1:4" x14ac:dyDescent="0.25">
      <c r="A1069" s="1">
        <v>40878</v>
      </c>
      <c r="B1069">
        <f>YEAR('base-pms_spbrasil'!E1069)</f>
        <v>2011</v>
      </c>
      <c r="C1069">
        <f>MONTH('base-pms_spbrasil'!E1069)</f>
        <v>12</v>
      </c>
      <c r="D1069" s="3" t="str">
        <f>UPPER(TEXT('base-pms_spbrasil'!E1069,"MMMM"))</f>
        <v>DEZEMBRO</v>
      </c>
    </row>
    <row r="1070" spans="1:4" x14ac:dyDescent="0.25">
      <c r="A1070" s="1">
        <v>40909</v>
      </c>
      <c r="B1070">
        <f>YEAR('base-pms_spbrasil'!E1070)</f>
        <v>2012</v>
      </c>
      <c r="C1070">
        <f>MONTH('base-pms_spbrasil'!E1070)</f>
        <v>1</v>
      </c>
      <c r="D1070" s="3" t="str">
        <f>UPPER(TEXT('base-pms_spbrasil'!E1070,"MMMM"))</f>
        <v>JANEIRO</v>
      </c>
    </row>
    <row r="1071" spans="1:4" x14ac:dyDescent="0.25">
      <c r="A1071" s="1">
        <v>40940</v>
      </c>
      <c r="B1071">
        <f>YEAR('base-pms_spbrasil'!E1071)</f>
        <v>2012</v>
      </c>
      <c r="C1071">
        <f>MONTH('base-pms_spbrasil'!E1071)</f>
        <v>2</v>
      </c>
      <c r="D1071" s="3" t="str">
        <f>UPPER(TEXT('base-pms_spbrasil'!E1071,"MMMM"))</f>
        <v>FEVEREIRO</v>
      </c>
    </row>
    <row r="1072" spans="1:4" x14ac:dyDescent="0.25">
      <c r="A1072" s="1">
        <v>40969</v>
      </c>
      <c r="B1072">
        <f>YEAR('base-pms_spbrasil'!E1072)</f>
        <v>2012</v>
      </c>
      <c r="C1072">
        <f>MONTH('base-pms_spbrasil'!E1072)</f>
        <v>3</v>
      </c>
      <c r="D1072" s="3" t="str">
        <f>UPPER(TEXT('base-pms_spbrasil'!E1072,"MMMM"))</f>
        <v>MARÇO</v>
      </c>
    </row>
    <row r="1073" spans="1:4" x14ac:dyDescent="0.25">
      <c r="A1073" s="1">
        <v>41000</v>
      </c>
      <c r="B1073">
        <f>YEAR('base-pms_spbrasil'!E1073)</f>
        <v>2012</v>
      </c>
      <c r="C1073">
        <f>MONTH('base-pms_spbrasil'!E1073)</f>
        <v>4</v>
      </c>
      <c r="D1073" s="3" t="str">
        <f>UPPER(TEXT('base-pms_spbrasil'!E1073,"MMMM"))</f>
        <v>ABRIL</v>
      </c>
    </row>
    <row r="1074" spans="1:4" x14ac:dyDescent="0.25">
      <c r="A1074" s="1">
        <v>41030</v>
      </c>
      <c r="B1074">
        <f>YEAR('base-pms_spbrasil'!E1074)</f>
        <v>2012</v>
      </c>
      <c r="C1074">
        <f>MONTH('base-pms_spbrasil'!E1074)</f>
        <v>5</v>
      </c>
      <c r="D1074" s="3" t="str">
        <f>UPPER(TEXT('base-pms_spbrasil'!E1074,"MMMM"))</f>
        <v>MAIO</v>
      </c>
    </row>
    <row r="1075" spans="1:4" x14ac:dyDescent="0.25">
      <c r="A1075" s="1">
        <v>41061</v>
      </c>
      <c r="B1075">
        <f>YEAR('base-pms_spbrasil'!E1075)</f>
        <v>2012</v>
      </c>
      <c r="C1075">
        <f>MONTH('base-pms_spbrasil'!E1075)</f>
        <v>6</v>
      </c>
      <c r="D1075" s="3" t="str">
        <f>UPPER(TEXT('base-pms_spbrasil'!E1075,"MMMM"))</f>
        <v>JUNHO</v>
      </c>
    </row>
    <row r="1076" spans="1:4" x14ac:dyDescent="0.25">
      <c r="A1076" s="1">
        <v>41091</v>
      </c>
      <c r="B1076">
        <f>YEAR('base-pms_spbrasil'!E1076)</f>
        <v>2012</v>
      </c>
      <c r="C1076">
        <f>MONTH('base-pms_spbrasil'!E1076)</f>
        <v>7</v>
      </c>
      <c r="D1076" s="3" t="str">
        <f>UPPER(TEXT('base-pms_spbrasil'!E1076,"MMMM"))</f>
        <v>JULHO</v>
      </c>
    </row>
    <row r="1077" spans="1:4" x14ac:dyDescent="0.25">
      <c r="A1077" s="1">
        <v>41122</v>
      </c>
      <c r="B1077">
        <f>YEAR('base-pms_spbrasil'!E1077)</f>
        <v>2012</v>
      </c>
      <c r="C1077">
        <f>MONTH('base-pms_spbrasil'!E1077)</f>
        <v>8</v>
      </c>
      <c r="D1077" s="3" t="str">
        <f>UPPER(TEXT('base-pms_spbrasil'!E1077,"MMMM"))</f>
        <v>AGOSTO</v>
      </c>
    </row>
    <row r="1078" spans="1:4" x14ac:dyDescent="0.25">
      <c r="A1078" s="1">
        <v>41153</v>
      </c>
      <c r="B1078">
        <f>YEAR('base-pms_spbrasil'!E1078)</f>
        <v>2012</v>
      </c>
      <c r="C1078">
        <f>MONTH('base-pms_spbrasil'!E1078)</f>
        <v>9</v>
      </c>
      <c r="D1078" s="3" t="str">
        <f>UPPER(TEXT('base-pms_spbrasil'!E1078,"MMMM"))</f>
        <v>SETEMBRO</v>
      </c>
    </row>
    <row r="1079" spans="1:4" x14ac:dyDescent="0.25">
      <c r="A1079" s="1">
        <v>41183</v>
      </c>
      <c r="B1079">
        <f>YEAR('base-pms_spbrasil'!E1079)</f>
        <v>2012</v>
      </c>
      <c r="C1079">
        <f>MONTH('base-pms_spbrasil'!E1079)</f>
        <v>10</v>
      </c>
      <c r="D1079" s="3" t="str">
        <f>UPPER(TEXT('base-pms_spbrasil'!E1079,"MMMM"))</f>
        <v>OUTUBRO</v>
      </c>
    </row>
    <row r="1080" spans="1:4" x14ac:dyDescent="0.25">
      <c r="A1080" s="1">
        <v>41214</v>
      </c>
      <c r="B1080">
        <f>YEAR('base-pms_spbrasil'!E1080)</f>
        <v>2012</v>
      </c>
      <c r="C1080">
        <f>MONTH('base-pms_spbrasil'!E1080)</f>
        <v>11</v>
      </c>
      <c r="D1080" s="3" t="str">
        <f>UPPER(TEXT('base-pms_spbrasil'!E1080,"MMMM"))</f>
        <v>NOVEMBRO</v>
      </c>
    </row>
    <row r="1081" spans="1:4" x14ac:dyDescent="0.25">
      <c r="A1081" s="1">
        <v>41244</v>
      </c>
      <c r="B1081">
        <f>YEAR('base-pms_spbrasil'!E1081)</f>
        <v>2012</v>
      </c>
      <c r="C1081">
        <f>MONTH('base-pms_spbrasil'!E1081)</f>
        <v>12</v>
      </c>
      <c r="D1081" s="3" t="str">
        <f>UPPER(TEXT('base-pms_spbrasil'!E1081,"MMMM"))</f>
        <v>DEZEMBRO</v>
      </c>
    </row>
    <row r="1082" spans="1:4" x14ac:dyDescent="0.25">
      <c r="A1082" s="1">
        <v>41275</v>
      </c>
      <c r="B1082">
        <f>YEAR('base-pms_spbrasil'!E1082)</f>
        <v>2013</v>
      </c>
      <c r="C1082">
        <f>MONTH('base-pms_spbrasil'!E1082)</f>
        <v>1</v>
      </c>
      <c r="D1082" s="3" t="str">
        <f>UPPER(TEXT('base-pms_spbrasil'!E1082,"MMMM"))</f>
        <v>JANEIRO</v>
      </c>
    </row>
    <row r="1083" spans="1:4" x14ac:dyDescent="0.25">
      <c r="A1083" s="1">
        <v>41306</v>
      </c>
      <c r="B1083">
        <f>YEAR('base-pms_spbrasil'!E1083)</f>
        <v>2013</v>
      </c>
      <c r="C1083">
        <f>MONTH('base-pms_spbrasil'!E1083)</f>
        <v>2</v>
      </c>
      <c r="D1083" s="3" t="str">
        <f>UPPER(TEXT('base-pms_spbrasil'!E1083,"MMMM"))</f>
        <v>FEVEREIRO</v>
      </c>
    </row>
    <row r="1084" spans="1:4" x14ac:dyDescent="0.25">
      <c r="A1084" s="1">
        <v>41334</v>
      </c>
      <c r="B1084">
        <f>YEAR('base-pms_spbrasil'!E1084)</f>
        <v>2013</v>
      </c>
      <c r="C1084">
        <f>MONTH('base-pms_spbrasil'!E1084)</f>
        <v>3</v>
      </c>
      <c r="D1084" s="3" t="str">
        <f>UPPER(TEXT('base-pms_spbrasil'!E1084,"MMMM"))</f>
        <v>MARÇO</v>
      </c>
    </row>
    <row r="1085" spans="1:4" x14ac:dyDescent="0.25">
      <c r="A1085" s="1">
        <v>41365</v>
      </c>
      <c r="B1085">
        <f>YEAR('base-pms_spbrasil'!E1085)</f>
        <v>2013</v>
      </c>
      <c r="C1085">
        <f>MONTH('base-pms_spbrasil'!E1085)</f>
        <v>4</v>
      </c>
      <c r="D1085" s="3" t="str">
        <f>UPPER(TEXT('base-pms_spbrasil'!E1085,"MMMM"))</f>
        <v>ABRIL</v>
      </c>
    </row>
    <row r="1086" spans="1:4" x14ac:dyDescent="0.25">
      <c r="A1086" s="1">
        <v>41395</v>
      </c>
      <c r="B1086">
        <f>YEAR('base-pms_spbrasil'!E1086)</f>
        <v>2013</v>
      </c>
      <c r="C1086">
        <f>MONTH('base-pms_spbrasil'!E1086)</f>
        <v>5</v>
      </c>
      <c r="D1086" s="3" t="str">
        <f>UPPER(TEXT('base-pms_spbrasil'!E1086,"MMMM"))</f>
        <v>MAIO</v>
      </c>
    </row>
    <row r="1087" spans="1:4" x14ac:dyDescent="0.25">
      <c r="A1087" s="1">
        <v>41426</v>
      </c>
      <c r="B1087">
        <f>YEAR('base-pms_spbrasil'!E1087)</f>
        <v>2013</v>
      </c>
      <c r="C1087">
        <f>MONTH('base-pms_spbrasil'!E1087)</f>
        <v>6</v>
      </c>
      <c r="D1087" s="3" t="str">
        <f>UPPER(TEXT('base-pms_spbrasil'!E1087,"MMMM"))</f>
        <v>JUNHO</v>
      </c>
    </row>
    <row r="1088" spans="1:4" x14ac:dyDescent="0.25">
      <c r="A1088" s="1">
        <v>41456</v>
      </c>
      <c r="B1088">
        <f>YEAR('base-pms_spbrasil'!E1088)</f>
        <v>2013</v>
      </c>
      <c r="C1088">
        <f>MONTH('base-pms_spbrasil'!E1088)</f>
        <v>7</v>
      </c>
      <c r="D1088" s="3" t="str">
        <f>UPPER(TEXT('base-pms_spbrasil'!E1088,"MMMM"))</f>
        <v>JULHO</v>
      </c>
    </row>
    <row r="1089" spans="1:4" x14ac:dyDescent="0.25">
      <c r="A1089" s="1">
        <v>41487</v>
      </c>
      <c r="B1089">
        <f>YEAR('base-pms_spbrasil'!E1089)</f>
        <v>2013</v>
      </c>
      <c r="C1089">
        <f>MONTH('base-pms_spbrasil'!E1089)</f>
        <v>8</v>
      </c>
      <c r="D1089" s="3" t="str">
        <f>UPPER(TEXT('base-pms_spbrasil'!E1089,"MMMM"))</f>
        <v>AGOSTO</v>
      </c>
    </row>
    <row r="1090" spans="1:4" x14ac:dyDescent="0.25">
      <c r="A1090" s="1">
        <v>41518</v>
      </c>
      <c r="B1090">
        <f>YEAR('base-pms_spbrasil'!E1090)</f>
        <v>2013</v>
      </c>
      <c r="C1090">
        <f>MONTH('base-pms_spbrasil'!E1090)</f>
        <v>9</v>
      </c>
      <c r="D1090" s="3" t="str">
        <f>UPPER(TEXT('base-pms_spbrasil'!E1090,"MMMM"))</f>
        <v>SETEMBRO</v>
      </c>
    </row>
    <row r="1091" spans="1:4" x14ac:dyDescent="0.25">
      <c r="A1091" s="1">
        <v>41548</v>
      </c>
      <c r="B1091">
        <f>YEAR('base-pms_spbrasil'!E1091)</f>
        <v>2013</v>
      </c>
      <c r="C1091">
        <f>MONTH('base-pms_spbrasil'!E1091)</f>
        <v>10</v>
      </c>
      <c r="D1091" s="3" t="str">
        <f>UPPER(TEXT('base-pms_spbrasil'!E1091,"MMMM"))</f>
        <v>OUTUBRO</v>
      </c>
    </row>
    <row r="1092" spans="1:4" x14ac:dyDescent="0.25">
      <c r="A1092" s="1">
        <v>41579</v>
      </c>
      <c r="B1092">
        <f>YEAR('base-pms_spbrasil'!E1092)</f>
        <v>2013</v>
      </c>
      <c r="C1092">
        <f>MONTH('base-pms_spbrasil'!E1092)</f>
        <v>11</v>
      </c>
      <c r="D1092" s="3" t="str">
        <f>UPPER(TEXT('base-pms_spbrasil'!E1092,"MMMM"))</f>
        <v>NOVEMBRO</v>
      </c>
    </row>
    <row r="1093" spans="1:4" x14ac:dyDescent="0.25">
      <c r="A1093" s="1">
        <v>41609</v>
      </c>
      <c r="B1093">
        <f>YEAR('base-pms_spbrasil'!E1093)</f>
        <v>2013</v>
      </c>
      <c r="C1093">
        <f>MONTH('base-pms_spbrasil'!E1093)</f>
        <v>12</v>
      </c>
      <c r="D1093" s="3" t="str">
        <f>UPPER(TEXT('base-pms_spbrasil'!E1093,"MMMM"))</f>
        <v>DEZEMBRO</v>
      </c>
    </row>
    <row r="1094" spans="1:4" x14ac:dyDescent="0.25">
      <c r="A1094" s="1">
        <v>41640</v>
      </c>
      <c r="B1094">
        <f>YEAR('base-pms_spbrasil'!E1094)</f>
        <v>2014</v>
      </c>
      <c r="C1094">
        <f>MONTH('base-pms_spbrasil'!E1094)</f>
        <v>1</v>
      </c>
      <c r="D1094" s="3" t="str">
        <f>UPPER(TEXT('base-pms_spbrasil'!E1094,"MMMM"))</f>
        <v>JANEIRO</v>
      </c>
    </row>
    <row r="1095" spans="1:4" x14ac:dyDescent="0.25">
      <c r="A1095" s="1">
        <v>41671</v>
      </c>
      <c r="B1095">
        <f>YEAR('base-pms_spbrasil'!E1095)</f>
        <v>2014</v>
      </c>
      <c r="C1095">
        <f>MONTH('base-pms_spbrasil'!E1095)</f>
        <v>2</v>
      </c>
      <c r="D1095" s="3" t="str">
        <f>UPPER(TEXT('base-pms_spbrasil'!E1095,"MMMM"))</f>
        <v>FEVEREIRO</v>
      </c>
    </row>
    <row r="1096" spans="1:4" x14ac:dyDescent="0.25">
      <c r="A1096" s="1">
        <v>41699</v>
      </c>
      <c r="B1096">
        <f>YEAR('base-pms_spbrasil'!E1096)</f>
        <v>2014</v>
      </c>
      <c r="C1096">
        <f>MONTH('base-pms_spbrasil'!E1096)</f>
        <v>3</v>
      </c>
      <c r="D1096" s="3" t="str">
        <f>UPPER(TEXT('base-pms_spbrasil'!E1096,"MMMM"))</f>
        <v>MARÇO</v>
      </c>
    </row>
    <row r="1097" spans="1:4" x14ac:dyDescent="0.25">
      <c r="A1097" s="1">
        <v>41730</v>
      </c>
      <c r="B1097">
        <f>YEAR('base-pms_spbrasil'!E1097)</f>
        <v>2014</v>
      </c>
      <c r="C1097">
        <f>MONTH('base-pms_spbrasil'!E1097)</f>
        <v>4</v>
      </c>
      <c r="D1097" s="3" t="str">
        <f>UPPER(TEXT('base-pms_spbrasil'!E1097,"MMMM"))</f>
        <v>ABRIL</v>
      </c>
    </row>
    <row r="1098" spans="1:4" x14ac:dyDescent="0.25">
      <c r="A1098" s="1">
        <v>41760</v>
      </c>
      <c r="B1098">
        <f>YEAR('base-pms_spbrasil'!E1098)</f>
        <v>2014</v>
      </c>
      <c r="C1098">
        <f>MONTH('base-pms_spbrasil'!E1098)</f>
        <v>5</v>
      </c>
      <c r="D1098" s="3" t="str">
        <f>UPPER(TEXT('base-pms_spbrasil'!E1098,"MMMM"))</f>
        <v>MAIO</v>
      </c>
    </row>
    <row r="1099" spans="1:4" x14ac:dyDescent="0.25">
      <c r="A1099" s="1">
        <v>41791</v>
      </c>
      <c r="B1099">
        <f>YEAR('base-pms_spbrasil'!E1099)</f>
        <v>2014</v>
      </c>
      <c r="C1099">
        <f>MONTH('base-pms_spbrasil'!E1099)</f>
        <v>6</v>
      </c>
      <c r="D1099" s="3" t="str">
        <f>UPPER(TEXT('base-pms_spbrasil'!E1099,"MMMM"))</f>
        <v>JUNHO</v>
      </c>
    </row>
    <row r="1100" spans="1:4" x14ac:dyDescent="0.25">
      <c r="A1100" s="1">
        <v>41821</v>
      </c>
      <c r="B1100">
        <f>YEAR('base-pms_spbrasil'!E1100)</f>
        <v>2014</v>
      </c>
      <c r="C1100">
        <f>MONTH('base-pms_spbrasil'!E1100)</f>
        <v>7</v>
      </c>
      <c r="D1100" s="3" t="str">
        <f>UPPER(TEXT('base-pms_spbrasil'!E1100,"MMMM"))</f>
        <v>JULHO</v>
      </c>
    </row>
    <row r="1101" spans="1:4" x14ac:dyDescent="0.25">
      <c r="A1101" s="1">
        <v>41852</v>
      </c>
      <c r="B1101">
        <f>YEAR('base-pms_spbrasil'!E1101)</f>
        <v>2014</v>
      </c>
      <c r="C1101">
        <f>MONTH('base-pms_spbrasil'!E1101)</f>
        <v>8</v>
      </c>
      <c r="D1101" s="3" t="str">
        <f>UPPER(TEXT('base-pms_spbrasil'!E1101,"MMMM"))</f>
        <v>AGOSTO</v>
      </c>
    </row>
    <row r="1102" spans="1:4" x14ac:dyDescent="0.25">
      <c r="A1102" s="1">
        <v>41883</v>
      </c>
      <c r="B1102">
        <f>YEAR('base-pms_spbrasil'!E1102)</f>
        <v>2014</v>
      </c>
      <c r="C1102">
        <f>MONTH('base-pms_spbrasil'!E1102)</f>
        <v>9</v>
      </c>
      <c r="D1102" s="3" t="str">
        <f>UPPER(TEXT('base-pms_spbrasil'!E1102,"MMMM"))</f>
        <v>SETEMBRO</v>
      </c>
    </row>
    <row r="1103" spans="1:4" x14ac:dyDescent="0.25">
      <c r="A1103" s="1">
        <v>41913</v>
      </c>
      <c r="B1103">
        <f>YEAR('base-pms_spbrasil'!E1103)</f>
        <v>2014</v>
      </c>
      <c r="C1103">
        <f>MONTH('base-pms_spbrasil'!E1103)</f>
        <v>10</v>
      </c>
      <c r="D1103" s="3" t="str">
        <f>UPPER(TEXT('base-pms_spbrasil'!E1103,"MMMM"))</f>
        <v>OUTUBRO</v>
      </c>
    </row>
    <row r="1104" spans="1:4" x14ac:dyDescent="0.25">
      <c r="A1104" s="1">
        <v>41944</v>
      </c>
      <c r="B1104">
        <f>YEAR('base-pms_spbrasil'!E1104)</f>
        <v>2014</v>
      </c>
      <c r="C1104">
        <f>MONTH('base-pms_spbrasil'!E1104)</f>
        <v>11</v>
      </c>
      <c r="D1104" s="3" t="str">
        <f>UPPER(TEXT('base-pms_spbrasil'!E1104,"MMMM"))</f>
        <v>NOVEMBRO</v>
      </c>
    </row>
    <row r="1105" spans="1:4" x14ac:dyDescent="0.25">
      <c r="A1105" s="1">
        <v>41974</v>
      </c>
      <c r="B1105">
        <f>YEAR('base-pms_spbrasil'!E1105)</f>
        <v>2014</v>
      </c>
      <c r="C1105">
        <f>MONTH('base-pms_spbrasil'!E1105)</f>
        <v>12</v>
      </c>
      <c r="D1105" s="3" t="str">
        <f>UPPER(TEXT('base-pms_spbrasil'!E1105,"MMMM"))</f>
        <v>DEZEMBRO</v>
      </c>
    </row>
    <row r="1106" spans="1:4" x14ac:dyDescent="0.25">
      <c r="A1106" s="1">
        <v>42005</v>
      </c>
      <c r="B1106">
        <f>YEAR('base-pms_spbrasil'!E1106)</f>
        <v>2015</v>
      </c>
      <c r="C1106">
        <f>MONTH('base-pms_spbrasil'!E1106)</f>
        <v>1</v>
      </c>
      <c r="D1106" s="3" t="str">
        <f>UPPER(TEXT('base-pms_spbrasil'!E1106,"MMMM"))</f>
        <v>JANEIRO</v>
      </c>
    </row>
    <row r="1107" spans="1:4" x14ac:dyDescent="0.25">
      <c r="A1107" s="1">
        <v>42036</v>
      </c>
      <c r="B1107">
        <f>YEAR('base-pms_spbrasil'!E1107)</f>
        <v>2015</v>
      </c>
      <c r="C1107">
        <f>MONTH('base-pms_spbrasil'!E1107)</f>
        <v>2</v>
      </c>
      <c r="D1107" s="3" t="str">
        <f>UPPER(TEXT('base-pms_spbrasil'!E1107,"MMMM"))</f>
        <v>FEVEREIRO</v>
      </c>
    </row>
    <row r="1108" spans="1:4" x14ac:dyDescent="0.25">
      <c r="A1108" s="1">
        <v>42064</v>
      </c>
      <c r="B1108">
        <f>YEAR('base-pms_spbrasil'!E1108)</f>
        <v>2015</v>
      </c>
      <c r="C1108">
        <f>MONTH('base-pms_spbrasil'!E1108)</f>
        <v>3</v>
      </c>
      <c r="D1108" s="3" t="str">
        <f>UPPER(TEXT('base-pms_spbrasil'!E1108,"MMMM"))</f>
        <v>MARÇO</v>
      </c>
    </row>
    <row r="1109" spans="1:4" x14ac:dyDescent="0.25">
      <c r="A1109" s="1">
        <v>42095</v>
      </c>
      <c r="B1109">
        <f>YEAR('base-pms_spbrasil'!E1109)</f>
        <v>2015</v>
      </c>
      <c r="C1109">
        <f>MONTH('base-pms_spbrasil'!E1109)</f>
        <v>4</v>
      </c>
      <c r="D1109" s="3" t="str">
        <f>UPPER(TEXT('base-pms_spbrasil'!E1109,"MMMM"))</f>
        <v>ABRIL</v>
      </c>
    </row>
    <row r="1110" spans="1:4" x14ac:dyDescent="0.25">
      <c r="A1110" s="1">
        <v>42125</v>
      </c>
      <c r="B1110">
        <f>YEAR('base-pms_spbrasil'!E1110)</f>
        <v>2015</v>
      </c>
      <c r="C1110">
        <f>MONTH('base-pms_spbrasil'!E1110)</f>
        <v>5</v>
      </c>
      <c r="D1110" s="3" t="str">
        <f>UPPER(TEXT('base-pms_spbrasil'!E1110,"MMMM"))</f>
        <v>MAIO</v>
      </c>
    </row>
    <row r="1111" spans="1:4" x14ac:dyDescent="0.25">
      <c r="A1111" s="1">
        <v>42156</v>
      </c>
      <c r="B1111">
        <f>YEAR('base-pms_spbrasil'!E1111)</f>
        <v>2015</v>
      </c>
      <c r="C1111">
        <f>MONTH('base-pms_spbrasil'!E1111)</f>
        <v>6</v>
      </c>
      <c r="D1111" s="3" t="str">
        <f>UPPER(TEXT('base-pms_spbrasil'!E1111,"MMMM"))</f>
        <v>JUNHO</v>
      </c>
    </row>
    <row r="1112" spans="1:4" x14ac:dyDescent="0.25">
      <c r="A1112" s="1">
        <v>42186</v>
      </c>
      <c r="B1112">
        <f>YEAR('base-pms_spbrasil'!E1112)</f>
        <v>2015</v>
      </c>
      <c r="C1112">
        <f>MONTH('base-pms_spbrasil'!E1112)</f>
        <v>7</v>
      </c>
      <c r="D1112" s="3" t="str">
        <f>UPPER(TEXT('base-pms_spbrasil'!E1112,"MMMM"))</f>
        <v>JULHO</v>
      </c>
    </row>
    <row r="1113" spans="1:4" x14ac:dyDescent="0.25">
      <c r="A1113" s="1">
        <v>42217</v>
      </c>
      <c r="B1113">
        <f>YEAR('base-pms_spbrasil'!E1113)</f>
        <v>2015</v>
      </c>
      <c r="C1113">
        <f>MONTH('base-pms_spbrasil'!E1113)</f>
        <v>8</v>
      </c>
      <c r="D1113" s="3" t="str">
        <f>UPPER(TEXT('base-pms_spbrasil'!E1113,"MMMM"))</f>
        <v>AGOSTO</v>
      </c>
    </row>
    <row r="1114" spans="1:4" x14ac:dyDescent="0.25">
      <c r="A1114" s="1">
        <v>42248</v>
      </c>
      <c r="B1114">
        <f>YEAR('base-pms_spbrasil'!E1114)</f>
        <v>2015</v>
      </c>
      <c r="C1114">
        <f>MONTH('base-pms_spbrasil'!E1114)</f>
        <v>9</v>
      </c>
      <c r="D1114" s="3" t="str">
        <f>UPPER(TEXT('base-pms_spbrasil'!E1114,"MMMM"))</f>
        <v>SETEMBRO</v>
      </c>
    </row>
    <row r="1115" spans="1:4" x14ac:dyDescent="0.25">
      <c r="A1115" s="1">
        <v>42278</v>
      </c>
      <c r="B1115">
        <f>YEAR('base-pms_spbrasil'!E1115)</f>
        <v>2015</v>
      </c>
      <c r="C1115">
        <f>MONTH('base-pms_spbrasil'!E1115)</f>
        <v>10</v>
      </c>
      <c r="D1115" s="3" t="str">
        <f>UPPER(TEXT('base-pms_spbrasil'!E1115,"MMMM"))</f>
        <v>OUTUBRO</v>
      </c>
    </row>
    <row r="1116" spans="1:4" x14ac:dyDescent="0.25">
      <c r="A1116" s="1">
        <v>42309</v>
      </c>
      <c r="B1116">
        <f>YEAR('base-pms_spbrasil'!E1116)</f>
        <v>2015</v>
      </c>
      <c r="C1116">
        <f>MONTH('base-pms_spbrasil'!E1116)</f>
        <v>11</v>
      </c>
      <c r="D1116" s="3" t="str">
        <f>UPPER(TEXT('base-pms_spbrasil'!E1116,"MMMM"))</f>
        <v>NOVEMBRO</v>
      </c>
    </row>
    <row r="1117" spans="1:4" x14ac:dyDescent="0.25">
      <c r="A1117" s="1">
        <v>42339</v>
      </c>
      <c r="B1117">
        <f>YEAR('base-pms_spbrasil'!E1117)</f>
        <v>2015</v>
      </c>
      <c r="C1117">
        <f>MONTH('base-pms_spbrasil'!E1117)</f>
        <v>12</v>
      </c>
      <c r="D1117" s="3" t="str">
        <f>UPPER(TEXT('base-pms_spbrasil'!E1117,"MMMM"))</f>
        <v>DEZEMBRO</v>
      </c>
    </row>
    <row r="1118" spans="1:4" x14ac:dyDescent="0.25">
      <c r="A1118" s="1">
        <v>42370</v>
      </c>
      <c r="B1118">
        <f>YEAR('base-pms_spbrasil'!E1118)</f>
        <v>2016</v>
      </c>
      <c r="C1118">
        <f>MONTH('base-pms_spbrasil'!E1118)</f>
        <v>1</v>
      </c>
      <c r="D1118" s="3" t="str">
        <f>UPPER(TEXT('base-pms_spbrasil'!E1118,"MMMM"))</f>
        <v>JANEIRO</v>
      </c>
    </row>
    <row r="1119" spans="1:4" x14ac:dyDescent="0.25">
      <c r="A1119" s="1">
        <v>42401</v>
      </c>
      <c r="B1119">
        <f>YEAR('base-pms_spbrasil'!E1119)</f>
        <v>2016</v>
      </c>
      <c r="C1119">
        <f>MONTH('base-pms_spbrasil'!E1119)</f>
        <v>2</v>
      </c>
      <c r="D1119" s="3" t="str">
        <f>UPPER(TEXT('base-pms_spbrasil'!E1119,"MMMM"))</f>
        <v>FEVEREIRO</v>
      </c>
    </row>
    <row r="1120" spans="1:4" x14ac:dyDescent="0.25">
      <c r="A1120" s="1">
        <v>42430</v>
      </c>
      <c r="B1120">
        <f>YEAR('base-pms_spbrasil'!E1120)</f>
        <v>2016</v>
      </c>
      <c r="C1120">
        <f>MONTH('base-pms_spbrasil'!E1120)</f>
        <v>3</v>
      </c>
      <c r="D1120" s="3" t="str">
        <f>UPPER(TEXT('base-pms_spbrasil'!E1120,"MMMM"))</f>
        <v>MARÇO</v>
      </c>
    </row>
    <row r="1121" spans="1:4" x14ac:dyDescent="0.25">
      <c r="A1121" s="1">
        <v>42461</v>
      </c>
      <c r="B1121">
        <f>YEAR('base-pms_spbrasil'!E1121)</f>
        <v>2016</v>
      </c>
      <c r="C1121">
        <f>MONTH('base-pms_spbrasil'!E1121)</f>
        <v>4</v>
      </c>
      <c r="D1121" s="3" t="str">
        <f>UPPER(TEXT('base-pms_spbrasil'!E1121,"MMMM"))</f>
        <v>ABRIL</v>
      </c>
    </row>
    <row r="1122" spans="1:4" x14ac:dyDescent="0.25">
      <c r="A1122" s="1">
        <v>42491</v>
      </c>
      <c r="B1122">
        <f>YEAR('base-pms_spbrasil'!E1122)</f>
        <v>2016</v>
      </c>
      <c r="C1122">
        <f>MONTH('base-pms_spbrasil'!E1122)</f>
        <v>5</v>
      </c>
      <c r="D1122" s="3" t="str">
        <f>UPPER(TEXT('base-pms_spbrasil'!E1122,"MMMM"))</f>
        <v>MAIO</v>
      </c>
    </row>
    <row r="1123" spans="1:4" x14ac:dyDescent="0.25">
      <c r="A1123" s="1">
        <v>42522</v>
      </c>
      <c r="B1123">
        <f>YEAR('base-pms_spbrasil'!E1123)</f>
        <v>2016</v>
      </c>
      <c r="C1123">
        <f>MONTH('base-pms_spbrasil'!E1123)</f>
        <v>6</v>
      </c>
      <c r="D1123" s="3" t="str">
        <f>UPPER(TEXT('base-pms_spbrasil'!E1123,"MMMM"))</f>
        <v>JUNHO</v>
      </c>
    </row>
    <row r="1124" spans="1:4" x14ac:dyDescent="0.25">
      <c r="A1124" s="1">
        <v>42552</v>
      </c>
      <c r="B1124">
        <f>YEAR('base-pms_spbrasil'!E1124)</f>
        <v>2016</v>
      </c>
      <c r="C1124">
        <f>MONTH('base-pms_spbrasil'!E1124)</f>
        <v>7</v>
      </c>
      <c r="D1124" s="3" t="str">
        <f>UPPER(TEXT('base-pms_spbrasil'!E1124,"MMMM"))</f>
        <v>JULHO</v>
      </c>
    </row>
    <row r="1125" spans="1:4" x14ac:dyDescent="0.25">
      <c r="A1125" s="1">
        <v>42583</v>
      </c>
      <c r="B1125">
        <f>YEAR('base-pms_spbrasil'!E1125)</f>
        <v>2016</v>
      </c>
      <c r="C1125">
        <f>MONTH('base-pms_spbrasil'!E1125)</f>
        <v>8</v>
      </c>
      <c r="D1125" s="3" t="str">
        <f>UPPER(TEXT('base-pms_spbrasil'!E1125,"MMMM"))</f>
        <v>AGOSTO</v>
      </c>
    </row>
    <row r="1126" spans="1:4" x14ac:dyDescent="0.25">
      <c r="A1126" s="1">
        <v>42614</v>
      </c>
      <c r="B1126">
        <f>YEAR('base-pms_spbrasil'!E1126)</f>
        <v>2016</v>
      </c>
      <c r="C1126">
        <f>MONTH('base-pms_spbrasil'!E1126)</f>
        <v>9</v>
      </c>
      <c r="D1126" s="3" t="str">
        <f>UPPER(TEXT('base-pms_spbrasil'!E1126,"MMMM"))</f>
        <v>SETEMBRO</v>
      </c>
    </row>
    <row r="1127" spans="1:4" x14ac:dyDescent="0.25">
      <c r="A1127" s="1">
        <v>42644</v>
      </c>
      <c r="B1127">
        <f>YEAR('base-pms_spbrasil'!E1127)</f>
        <v>2016</v>
      </c>
      <c r="C1127">
        <f>MONTH('base-pms_spbrasil'!E1127)</f>
        <v>10</v>
      </c>
      <c r="D1127" s="3" t="str">
        <f>UPPER(TEXT('base-pms_spbrasil'!E1127,"MMMM"))</f>
        <v>OUTUBRO</v>
      </c>
    </row>
    <row r="1128" spans="1:4" x14ac:dyDescent="0.25">
      <c r="A1128" s="1">
        <v>42675</v>
      </c>
      <c r="B1128">
        <f>YEAR('base-pms_spbrasil'!E1128)</f>
        <v>2016</v>
      </c>
      <c r="C1128">
        <f>MONTH('base-pms_spbrasil'!E1128)</f>
        <v>11</v>
      </c>
      <c r="D1128" s="3" t="str">
        <f>UPPER(TEXT('base-pms_spbrasil'!E1128,"MMMM"))</f>
        <v>NOVEMBRO</v>
      </c>
    </row>
    <row r="1129" spans="1:4" x14ac:dyDescent="0.25">
      <c r="A1129" s="1">
        <v>42705</v>
      </c>
      <c r="B1129">
        <f>YEAR('base-pms_spbrasil'!E1129)</f>
        <v>2016</v>
      </c>
      <c r="C1129">
        <f>MONTH('base-pms_spbrasil'!E1129)</f>
        <v>12</v>
      </c>
      <c r="D1129" s="3" t="str">
        <f>UPPER(TEXT('base-pms_spbrasil'!E1129,"MMMM"))</f>
        <v>DEZEMBRO</v>
      </c>
    </row>
    <row r="1130" spans="1:4" x14ac:dyDescent="0.25">
      <c r="A1130" s="1">
        <v>42736</v>
      </c>
      <c r="B1130">
        <f>YEAR('base-pms_spbrasil'!E1130)</f>
        <v>2017</v>
      </c>
      <c r="C1130">
        <f>MONTH('base-pms_spbrasil'!E1130)</f>
        <v>1</v>
      </c>
      <c r="D1130" s="3" t="str">
        <f>UPPER(TEXT('base-pms_spbrasil'!E1130,"MMMM"))</f>
        <v>JANEIRO</v>
      </c>
    </row>
    <row r="1131" spans="1:4" x14ac:dyDescent="0.25">
      <c r="A1131" s="1">
        <v>42767</v>
      </c>
      <c r="B1131">
        <f>YEAR('base-pms_spbrasil'!E1131)</f>
        <v>2017</v>
      </c>
      <c r="C1131">
        <f>MONTH('base-pms_spbrasil'!E1131)</f>
        <v>2</v>
      </c>
      <c r="D1131" s="3" t="str">
        <f>UPPER(TEXT('base-pms_spbrasil'!E1131,"MMMM"))</f>
        <v>FEVEREIRO</v>
      </c>
    </row>
    <row r="1132" spans="1:4" x14ac:dyDescent="0.25">
      <c r="A1132" s="1">
        <v>42795</v>
      </c>
      <c r="B1132">
        <f>YEAR('base-pms_spbrasil'!E1132)</f>
        <v>2017</v>
      </c>
      <c r="C1132">
        <f>MONTH('base-pms_spbrasil'!E1132)</f>
        <v>3</v>
      </c>
      <c r="D1132" s="3" t="str">
        <f>UPPER(TEXT('base-pms_spbrasil'!E1132,"MMMM"))</f>
        <v>MARÇO</v>
      </c>
    </row>
    <row r="1133" spans="1:4" x14ac:dyDescent="0.25">
      <c r="A1133" s="1">
        <v>42826</v>
      </c>
      <c r="B1133">
        <f>YEAR('base-pms_spbrasil'!E1133)</f>
        <v>2017</v>
      </c>
      <c r="C1133">
        <f>MONTH('base-pms_spbrasil'!E1133)</f>
        <v>4</v>
      </c>
      <c r="D1133" s="3" t="str">
        <f>UPPER(TEXT('base-pms_spbrasil'!E1133,"MMMM"))</f>
        <v>ABRIL</v>
      </c>
    </row>
    <row r="1134" spans="1:4" x14ac:dyDescent="0.25">
      <c r="A1134" s="1">
        <v>42856</v>
      </c>
      <c r="B1134">
        <f>YEAR('base-pms_spbrasil'!E1134)</f>
        <v>2017</v>
      </c>
      <c r="C1134">
        <f>MONTH('base-pms_spbrasil'!E1134)</f>
        <v>5</v>
      </c>
      <c r="D1134" s="3" t="str">
        <f>UPPER(TEXT('base-pms_spbrasil'!E1134,"MMMM"))</f>
        <v>MAIO</v>
      </c>
    </row>
    <row r="1135" spans="1:4" x14ac:dyDescent="0.25">
      <c r="A1135" s="1">
        <v>42887</v>
      </c>
      <c r="B1135">
        <f>YEAR('base-pms_spbrasil'!E1135)</f>
        <v>2017</v>
      </c>
      <c r="C1135">
        <f>MONTH('base-pms_spbrasil'!E1135)</f>
        <v>6</v>
      </c>
      <c r="D1135" s="3" t="str">
        <f>UPPER(TEXT('base-pms_spbrasil'!E1135,"MMMM"))</f>
        <v>JUNHO</v>
      </c>
    </row>
    <row r="1136" spans="1:4" x14ac:dyDescent="0.25">
      <c r="A1136" s="1">
        <v>42917</v>
      </c>
      <c r="B1136">
        <f>YEAR('base-pms_spbrasil'!E1136)</f>
        <v>2017</v>
      </c>
      <c r="C1136">
        <f>MONTH('base-pms_spbrasil'!E1136)</f>
        <v>7</v>
      </c>
      <c r="D1136" s="3" t="str">
        <f>UPPER(TEXT('base-pms_spbrasil'!E1136,"MMMM"))</f>
        <v>JULHO</v>
      </c>
    </row>
    <row r="1137" spans="1:4" x14ac:dyDescent="0.25">
      <c r="A1137" s="1">
        <v>42948</v>
      </c>
      <c r="B1137">
        <f>YEAR('base-pms_spbrasil'!E1137)</f>
        <v>2017</v>
      </c>
      <c r="C1137">
        <f>MONTH('base-pms_spbrasil'!E1137)</f>
        <v>8</v>
      </c>
      <c r="D1137" s="3" t="str">
        <f>UPPER(TEXT('base-pms_spbrasil'!E1137,"MMMM"))</f>
        <v>AGOSTO</v>
      </c>
    </row>
    <row r="1138" spans="1:4" x14ac:dyDescent="0.25">
      <c r="A1138" s="1">
        <v>42979</v>
      </c>
      <c r="B1138">
        <f>YEAR('base-pms_spbrasil'!E1138)</f>
        <v>2017</v>
      </c>
      <c r="C1138">
        <f>MONTH('base-pms_spbrasil'!E1138)</f>
        <v>9</v>
      </c>
      <c r="D1138" s="3" t="str">
        <f>UPPER(TEXT('base-pms_spbrasil'!E1138,"MMMM"))</f>
        <v>SETEMBRO</v>
      </c>
    </row>
    <row r="1139" spans="1:4" x14ac:dyDescent="0.25">
      <c r="A1139" s="1">
        <v>43009</v>
      </c>
      <c r="B1139">
        <f>YEAR('base-pms_spbrasil'!E1139)</f>
        <v>2017</v>
      </c>
      <c r="C1139">
        <f>MONTH('base-pms_spbrasil'!E1139)</f>
        <v>10</v>
      </c>
      <c r="D1139" s="3" t="str">
        <f>UPPER(TEXT('base-pms_spbrasil'!E1139,"MMMM"))</f>
        <v>OUTUBRO</v>
      </c>
    </row>
    <row r="1140" spans="1:4" x14ac:dyDescent="0.25">
      <c r="A1140" s="1">
        <v>43040</v>
      </c>
      <c r="B1140">
        <f>YEAR('base-pms_spbrasil'!E1140)</f>
        <v>2017</v>
      </c>
      <c r="C1140">
        <f>MONTH('base-pms_spbrasil'!E1140)</f>
        <v>11</v>
      </c>
      <c r="D1140" s="3" t="str">
        <f>UPPER(TEXT('base-pms_spbrasil'!E1140,"MMMM"))</f>
        <v>NOVEMBRO</v>
      </c>
    </row>
    <row r="1141" spans="1:4" x14ac:dyDescent="0.25">
      <c r="A1141" s="1">
        <v>43070</v>
      </c>
      <c r="B1141">
        <f>YEAR('base-pms_spbrasil'!E1141)</f>
        <v>2017</v>
      </c>
      <c r="C1141">
        <f>MONTH('base-pms_spbrasil'!E1141)</f>
        <v>12</v>
      </c>
      <c r="D1141" s="3" t="str">
        <f>UPPER(TEXT('base-pms_spbrasil'!E1141,"MMMM"))</f>
        <v>DEZEMBRO</v>
      </c>
    </row>
    <row r="1142" spans="1:4" x14ac:dyDescent="0.25">
      <c r="A1142" s="1">
        <v>43101</v>
      </c>
      <c r="B1142">
        <f>YEAR('base-pms_spbrasil'!E1142)</f>
        <v>2018</v>
      </c>
      <c r="C1142">
        <f>MONTH('base-pms_spbrasil'!E1142)</f>
        <v>1</v>
      </c>
      <c r="D1142" s="3" t="str">
        <f>UPPER(TEXT('base-pms_spbrasil'!E1142,"MMMM"))</f>
        <v>JANEIRO</v>
      </c>
    </row>
    <row r="1143" spans="1:4" x14ac:dyDescent="0.25">
      <c r="A1143" s="1">
        <v>43132</v>
      </c>
      <c r="B1143">
        <f>YEAR('base-pms_spbrasil'!E1143)</f>
        <v>2018</v>
      </c>
      <c r="C1143">
        <f>MONTH('base-pms_spbrasil'!E1143)</f>
        <v>2</v>
      </c>
      <c r="D1143" s="3" t="str">
        <f>UPPER(TEXT('base-pms_spbrasil'!E1143,"MMMM"))</f>
        <v>FEVEREIRO</v>
      </c>
    </row>
    <row r="1144" spans="1:4" x14ac:dyDescent="0.25">
      <c r="A1144" s="1">
        <v>43160</v>
      </c>
      <c r="B1144">
        <f>YEAR('base-pms_spbrasil'!E1144)</f>
        <v>2018</v>
      </c>
      <c r="C1144">
        <f>MONTH('base-pms_spbrasil'!E1144)</f>
        <v>3</v>
      </c>
      <c r="D1144" s="3" t="str">
        <f>UPPER(TEXT('base-pms_spbrasil'!E1144,"MMMM"))</f>
        <v>MARÇO</v>
      </c>
    </row>
    <row r="1145" spans="1:4" x14ac:dyDescent="0.25">
      <c r="A1145" s="1">
        <v>43191</v>
      </c>
      <c r="B1145">
        <f>YEAR('base-pms_spbrasil'!E1145)</f>
        <v>2018</v>
      </c>
      <c r="C1145">
        <f>MONTH('base-pms_spbrasil'!E1145)</f>
        <v>4</v>
      </c>
      <c r="D1145" s="3" t="str">
        <f>UPPER(TEXT('base-pms_spbrasil'!E1145,"MMMM"))</f>
        <v>ABRIL</v>
      </c>
    </row>
    <row r="1146" spans="1:4" x14ac:dyDescent="0.25">
      <c r="A1146" s="1">
        <v>43221</v>
      </c>
      <c r="B1146">
        <f>YEAR('base-pms_spbrasil'!E1146)</f>
        <v>2018</v>
      </c>
      <c r="C1146">
        <f>MONTH('base-pms_spbrasil'!E1146)</f>
        <v>5</v>
      </c>
      <c r="D1146" s="3" t="str">
        <f>UPPER(TEXT('base-pms_spbrasil'!E1146,"MMMM"))</f>
        <v>MAIO</v>
      </c>
    </row>
    <row r="1147" spans="1:4" x14ac:dyDescent="0.25">
      <c r="A1147" s="1">
        <v>43252</v>
      </c>
      <c r="B1147">
        <f>YEAR('base-pms_spbrasil'!E1147)</f>
        <v>2018</v>
      </c>
      <c r="C1147">
        <f>MONTH('base-pms_spbrasil'!E1147)</f>
        <v>6</v>
      </c>
      <c r="D1147" s="3" t="str">
        <f>UPPER(TEXT('base-pms_spbrasil'!E1147,"MMMM"))</f>
        <v>JUNHO</v>
      </c>
    </row>
    <row r="1148" spans="1:4" x14ac:dyDescent="0.25">
      <c r="A1148" s="1">
        <v>43282</v>
      </c>
      <c r="B1148">
        <f>YEAR('base-pms_spbrasil'!E1148)</f>
        <v>2018</v>
      </c>
      <c r="C1148">
        <f>MONTH('base-pms_spbrasil'!E1148)</f>
        <v>7</v>
      </c>
      <c r="D1148" s="3" t="str">
        <f>UPPER(TEXT('base-pms_spbrasil'!E1148,"MMMM"))</f>
        <v>JULHO</v>
      </c>
    </row>
    <row r="1149" spans="1:4" x14ac:dyDescent="0.25">
      <c r="A1149" s="1">
        <v>43313</v>
      </c>
      <c r="B1149">
        <f>YEAR('base-pms_spbrasil'!E1149)</f>
        <v>2018</v>
      </c>
      <c r="C1149">
        <f>MONTH('base-pms_spbrasil'!E1149)</f>
        <v>8</v>
      </c>
      <c r="D1149" s="3" t="str">
        <f>UPPER(TEXT('base-pms_spbrasil'!E1149,"MMMM"))</f>
        <v>AGOSTO</v>
      </c>
    </row>
    <row r="1150" spans="1:4" x14ac:dyDescent="0.25">
      <c r="A1150" s="1">
        <v>43344</v>
      </c>
      <c r="B1150">
        <f>YEAR('base-pms_spbrasil'!E1150)</f>
        <v>2018</v>
      </c>
      <c r="C1150">
        <f>MONTH('base-pms_spbrasil'!E1150)</f>
        <v>9</v>
      </c>
      <c r="D1150" s="3" t="str">
        <f>UPPER(TEXT('base-pms_spbrasil'!E1150,"MMMM"))</f>
        <v>SETEMBRO</v>
      </c>
    </row>
    <row r="1151" spans="1:4" x14ac:dyDescent="0.25">
      <c r="A1151" s="1">
        <v>43374</v>
      </c>
      <c r="B1151">
        <f>YEAR('base-pms_spbrasil'!E1151)</f>
        <v>2018</v>
      </c>
      <c r="C1151">
        <f>MONTH('base-pms_spbrasil'!E1151)</f>
        <v>10</v>
      </c>
      <c r="D1151" s="3" t="str">
        <f>UPPER(TEXT('base-pms_spbrasil'!E1151,"MMMM"))</f>
        <v>OUTUBRO</v>
      </c>
    </row>
    <row r="1152" spans="1:4" x14ac:dyDescent="0.25">
      <c r="A1152" s="1">
        <v>43405</v>
      </c>
      <c r="B1152">
        <f>YEAR('base-pms_spbrasil'!E1152)</f>
        <v>2018</v>
      </c>
      <c r="C1152">
        <f>MONTH('base-pms_spbrasil'!E1152)</f>
        <v>11</v>
      </c>
      <c r="D1152" s="3" t="str">
        <f>UPPER(TEXT('base-pms_spbrasil'!E1152,"MMMM"))</f>
        <v>NOVEMBRO</v>
      </c>
    </row>
    <row r="1153" spans="1:4" x14ac:dyDescent="0.25">
      <c r="A1153" s="1">
        <v>43435</v>
      </c>
      <c r="B1153">
        <f>YEAR('base-pms_spbrasil'!E1153)</f>
        <v>2018</v>
      </c>
      <c r="C1153">
        <f>MONTH('base-pms_spbrasil'!E1153)</f>
        <v>12</v>
      </c>
      <c r="D1153" s="3" t="str">
        <f>UPPER(TEXT('base-pms_spbrasil'!E1153,"MMMM"))</f>
        <v>DEZEMBRO</v>
      </c>
    </row>
    <row r="1154" spans="1:4" x14ac:dyDescent="0.25">
      <c r="A1154" s="1">
        <v>43466</v>
      </c>
      <c r="B1154">
        <f>YEAR('base-pms_spbrasil'!E1154)</f>
        <v>2019</v>
      </c>
      <c r="C1154">
        <f>MONTH('base-pms_spbrasil'!E1154)</f>
        <v>1</v>
      </c>
      <c r="D1154" s="3" t="str">
        <f>UPPER(TEXT('base-pms_spbrasil'!E1154,"MMMM"))</f>
        <v>JANEIRO</v>
      </c>
    </row>
    <row r="1155" spans="1:4" x14ac:dyDescent="0.25">
      <c r="A1155" s="1">
        <v>43497</v>
      </c>
      <c r="B1155">
        <f>YEAR('base-pms_spbrasil'!E1155)</f>
        <v>2019</v>
      </c>
      <c r="C1155">
        <f>MONTH('base-pms_spbrasil'!E1155)</f>
        <v>2</v>
      </c>
      <c r="D1155" s="3" t="str">
        <f>UPPER(TEXT('base-pms_spbrasil'!E1155,"MMMM"))</f>
        <v>FEVEREIRO</v>
      </c>
    </row>
    <row r="1156" spans="1:4" x14ac:dyDescent="0.25">
      <c r="A1156" s="1">
        <v>43525</v>
      </c>
      <c r="B1156">
        <f>YEAR('base-pms_spbrasil'!E1156)</f>
        <v>2019</v>
      </c>
      <c r="C1156">
        <f>MONTH('base-pms_spbrasil'!E1156)</f>
        <v>3</v>
      </c>
      <c r="D1156" s="3" t="str">
        <f>UPPER(TEXT('base-pms_spbrasil'!E1156,"MMMM"))</f>
        <v>MARÇO</v>
      </c>
    </row>
    <row r="1157" spans="1:4" x14ac:dyDescent="0.25">
      <c r="A1157" s="1">
        <v>43556</v>
      </c>
      <c r="B1157">
        <f>YEAR('base-pms_spbrasil'!E1157)</f>
        <v>2019</v>
      </c>
      <c r="C1157">
        <f>MONTH('base-pms_spbrasil'!E1157)</f>
        <v>4</v>
      </c>
      <c r="D1157" s="3" t="str">
        <f>UPPER(TEXT('base-pms_spbrasil'!E1157,"MMMM"))</f>
        <v>ABRIL</v>
      </c>
    </row>
    <row r="1158" spans="1:4" x14ac:dyDescent="0.25">
      <c r="A1158" s="1">
        <v>43586</v>
      </c>
      <c r="B1158">
        <f>YEAR('base-pms_spbrasil'!E1158)</f>
        <v>2019</v>
      </c>
      <c r="C1158">
        <f>MONTH('base-pms_spbrasil'!E1158)</f>
        <v>5</v>
      </c>
      <c r="D1158" s="3" t="str">
        <f>UPPER(TEXT('base-pms_spbrasil'!E1158,"MMMM"))</f>
        <v>MAIO</v>
      </c>
    </row>
    <row r="1159" spans="1:4" x14ac:dyDescent="0.25">
      <c r="A1159" s="1">
        <v>43617</v>
      </c>
      <c r="B1159">
        <f>YEAR('base-pms_spbrasil'!E1159)</f>
        <v>2019</v>
      </c>
      <c r="C1159">
        <f>MONTH('base-pms_spbrasil'!E1159)</f>
        <v>6</v>
      </c>
      <c r="D1159" s="3" t="str">
        <f>UPPER(TEXT('base-pms_spbrasil'!E1159,"MMMM"))</f>
        <v>JUNHO</v>
      </c>
    </row>
    <row r="1160" spans="1:4" x14ac:dyDescent="0.25">
      <c r="A1160" s="1">
        <v>43647</v>
      </c>
      <c r="B1160">
        <f>YEAR('base-pms_spbrasil'!E1160)</f>
        <v>2019</v>
      </c>
      <c r="C1160">
        <f>MONTH('base-pms_spbrasil'!E1160)</f>
        <v>7</v>
      </c>
      <c r="D1160" s="3" t="str">
        <f>UPPER(TEXT('base-pms_spbrasil'!E1160,"MMMM"))</f>
        <v>JULHO</v>
      </c>
    </row>
    <row r="1161" spans="1:4" x14ac:dyDescent="0.25">
      <c r="A1161" s="1">
        <v>43678</v>
      </c>
      <c r="B1161">
        <f>YEAR('base-pms_spbrasil'!E1161)</f>
        <v>2019</v>
      </c>
      <c r="C1161">
        <f>MONTH('base-pms_spbrasil'!E1161)</f>
        <v>8</v>
      </c>
      <c r="D1161" s="3" t="str">
        <f>UPPER(TEXT('base-pms_spbrasil'!E1161,"MMMM"))</f>
        <v>AGOSTO</v>
      </c>
    </row>
    <row r="1162" spans="1:4" x14ac:dyDescent="0.25">
      <c r="A1162" s="1">
        <v>43709</v>
      </c>
      <c r="B1162">
        <f>YEAR('base-pms_spbrasil'!E1162)</f>
        <v>2019</v>
      </c>
      <c r="C1162">
        <f>MONTH('base-pms_spbrasil'!E1162)</f>
        <v>9</v>
      </c>
      <c r="D1162" s="3" t="str">
        <f>UPPER(TEXT('base-pms_spbrasil'!E1162,"MMMM"))</f>
        <v>SETEMBRO</v>
      </c>
    </row>
    <row r="1163" spans="1:4" x14ac:dyDescent="0.25">
      <c r="A1163" s="1">
        <v>43739</v>
      </c>
      <c r="B1163">
        <f>YEAR('base-pms_spbrasil'!E1163)</f>
        <v>2019</v>
      </c>
      <c r="C1163">
        <f>MONTH('base-pms_spbrasil'!E1163)</f>
        <v>10</v>
      </c>
      <c r="D1163" s="3" t="str">
        <f>UPPER(TEXT('base-pms_spbrasil'!E1163,"MMMM"))</f>
        <v>OUTUBRO</v>
      </c>
    </row>
    <row r="1164" spans="1:4" x14ac:dyDescent="0.25">
      <c r="A1164" s="1">
        <v>43770</v>
      </c>
      <c r="B1164">
        <f>YEAR('base-pms_spbrasil'!E1164)</f>
        <v>2019</v>
      </c>
      <c r="C1164">
        <f>MONTH('base-pms_spbrasil'!E1164)</f>
        <v>11</v>
      </c>
      <c r="D1164" s="3" t="str">
        <f>UPPER(TEXT('base-pms_spbrasil'!E1164,"MMMM"))</f>
        <v>NOVEMBRO</v>
      </c>
    </row>
    <row r="1165" spans="1:4" x14ac:dyDescent="0.25">
      <c r="A1165" s="1">
        <v>43800</v>
      </c>
      <c r="B1165">
        <f>YEAR('base-pms_spbrasil'!E1165)</f>
        <v>2019</v>
      </c>
      <c r="C1165">
        <f>MONTH('base-pms_spbrasil'!E1165)</f>
        <v>12</v>
      </c>
      <c r="D1165" s="3" t="str">
        <f>UPPER(TEXT('base-pms_spbrasil'!E1165,"MMMM"))</f>
        <v>DEZEMBRO</v>
      </c>
    </row>
    <row r="1166" spans="1:4" x14ac:dyDescent="0.25">
      <c r="A1166" s="1">
        <v>43831</v>
      </c>
      <c r="B1166">
        <f>YEAR('base-pms_spbrasil'!E1166)</f>
        <v>2020</v>
      </c>
      <c r="C1166">
        <f>MONTH('base-pms_spbrasil'!E1166)</f>
        <v>1</v>
      </c>
      <c r="D1166" s="3" t="str">
        <f>UPPER(TEXT('base-pms_spbrasil'!E1166,"MMMM"))</f>
        <v>JANEIRO</v>
      </c>
    </row>
    <row r="1167" spans="1:4" x14ac:dyDescent="0.25">
      <c r="A1167" s="1">
        <v>43862</v>
      </c>
      <c r="B1167">
        <f>YEAR('base-pms_spbrasil'!E1167)</f>
        <v>2020</v>
      </c>
      <c r="C1167">
        <f>MONTH('base-pms_spbrasil'!E1167)</f>
        <v>2</v>
      </c>
      <c r="D1167" s="3" t="str">
        <f>UPPER(TEXT('base-pms_spbrasil'!E1167,"MMMM"))</f>
        <v>FEVEREIRO</v>
      </c>
    </row>
    <row r="1168" spans="1:4" x14ac:dyDescent="0.25">
      <c r="A1168" s="1">
        <v>43891</v>
      </c>
      <c r="B1168">
        <f>YEAR('base-pms_spbrasil'!E1168)</f>
        <v>2020</v>
      </c>
      <c r="C1168">
        <f>MONTH('base-pms_spbrasil'!E1168)</f>
        <v>3</v>
      </c>
      <c r="D1168" s="3" t="str">
        <f>UPPER(TEXT('base-pms_spbrasil'!E1168,"MMMM"))</f>
        <v>MARÇO</v>
      </c>
    </row>
    <row r="1169" spans="1:4" x14ac:dyDescent="0.25">
      <c r="A1169" s="1">
        <v>43922</v>
      </c>
      <c r="B1169">
        <f>YEAR('base-pms_spbrasil'!E1169)</f>
        <v>2020</v>
      </c>
      <c r="C1169">
        <f>MONTH('base-pms_spbrasil'!E1169)</f>
        <v>4</v>
      </c>
      <c r="D1169" s="3" t="str">
        <f>UPPER(TEXT('base-pms_spbrasil'!E1169,"MMMM"))</f>
        <v>ABRIL</v>
      </c>
    </row>
    <row r="1170" spans="1:4" x14ac:dyDescent="0.25">
      <c r="A1170" s="1">
        <v>43952</v>
      </c>
      <c r="B1170">
        <f>YEAR('base-pms_spbrasil'!E1170)</f>
        <v>2020</v>
      </c>
      <c r="C1170">
        <f>MONTH('base-pms_spbrasil'!E1170)</f>
        <v>5</v>
      </c>
      <c r="D1170" s="3" t="str">
        <f>UPPER(TEXT('base-pms_spbrasil'!E1170,"MMMM"))</f>
        <v>MAIO</v>
      </c>
    </row>
    <row r="1171" spans="1:4" x14ac:dyDescent="0.25">
      <c r="A1171" s="1">
        <v>43983</v>
      </c>
      <c r="B1171">
        <f>YEAR('base-pms_spbrasil'!E1171)</f>
        <v>2020</v>
      </c>
      <c r="C1171">
        <f>MONTH('base-pms_spbrasil'!E1171)</f>
        <v>6</v>
      </c>
      <c r="D1171" s="3" t="str">
        <f>UPPER(TEXT('base-pms_spbrasil'!E1171,"MMMM"))</f>
        <v>JUNHO</v>
      </c>
    </row>
    <row r="1172" spans="1:4" x14ac:dyDescent="0.25">
      <c r="A1172" s="1">
        <v>44013</v>
      </c>
      <c r="B1172">
        <f>YEAR('base-pms_spbrasil'!E1172)</f>
        <v>2020</v>
      </c>
      <c r="C1172">
        <f>MONTH('base-pms_spbrasil'!E1172)</f>
        <v>7</v>
      </c>
      <c r="D1172" s="3" t="str">
        <f>UPPER(TEXT('base-pms_spbrasil'!E1172,"MMMM"))</f>
        <v>JULHO</v>
      </c>
    </row>
    <row r="1173" spans="1:4" x14ac:dyDescent="0.25">
      <c r="A1173" s="1">
        <v>44044</v>
      </c>
      <c r="B1173">
        <f>YEAR('base-pms_spbrasil'!E1173)</f>
        <v>2020</v>
      </c>
      <c r="C1173">
        <f>MONTH('base-pms_spbrasil'!E1173)</f>
        <v>8</v>
      </c>
      <c r="D1173" s="3" t="str">
        <f>UPPER(TEXT('base-pms_spbrasil'!E1173,"MMMM"))</f>
        <v>AGOSTO</v>
      </c>
    </row>
    <row r="1174" spans="1:4" x14ac:dyDescent="0.25">
      <c r="A1174" s="1">
        <v>44075</v>
      </c>
      <c r="B1174">
        <f>YEAR('base-pms_spbrasil'!E1174)</f>
        <v>2020</v>
      </c>
      <c r="C1174">
        <f>MONTH('base-pms_spbrasil'!E1174)</f>
        <v>9</v>
      </c>
      <c r="D1174" s="3" t="str">
        <f>UPPER(TEXT('base-pms_spbrasil'!E1174,"MMMM"))</f>
        <v>SETEMBRO</v>
      </c>
    </row>
    <row r="1175" spans="1:4" x14ac:dyDescent="0.25">
      <c r="A1175" s="1">
        <v>44105</v>
      </c>
      <c r="B1175">
        <f>YEAR('base-pms_spbrasil'!E1175)</f>
        <v>2020</v>
      </c>
      <c r="C1175">
        <f>MONTH('base-pms_spbrasil'!E1175)</f>
        <v>10</v>
      </c>
      <c r="D1175" s="3" t="str">
        <f>UPPER(TEXT('base-pms_spbrasil'!E1175,"MMMM"))</f>
        <v>OUTUBRO</v>
      </c>
    </row>
    <row r="1176" spans="1:4" x14ac:dyDescent="0.25">
      <c r="A1176" s="1">
        <v>44136</v>
      </c>
      <c r="B1176">
        <f>YEAR('base-pms_spbrasil'!E1176)</f>
        <v>2020</v>
      </c>
      <c r="C1176">
        <f>MONTH('base-pms_spbrasil'!E1176)</f>
        <v>11</v>
      </c>
      <c r="D1176" s="3" t="str">
        <f>UPPER(TEXT('base-pms_spbrasil'!E1176,"MMMM"))</f>
        <v>NOVEMBRO</v>
      </c>
    </row>
    <row r="1177" spans="1:4" x14ac:dyDescent="0.25">
      <c r="A1177" s="1">
        <v>44166</v>
      </c>
      <c r="B1177">
        <f>YEAR('base-pms_spbrasil'!E1177)</f>
        <v>2020</v>
      </c>
      <c r="C1177">
        <f>MONTH('base-pms_spbrasil'!E1177)</f>
        <v>12</v>
      </c>
      <c r="D1177" s="3" t="str">
        <f>UPPER(TEXT('base-pms_spbrasil'!E1177,"MMMM"))</f>
        <v>DEZEMBRO</v>
      </c>
    </row>
    <row r="1178" spans="1:4" x14ac:dyDescent="0.25">
      <c r="A1178" s="1">
        <v>44197</v>
      </c>
      <c r="B1178">
        <f>YEAR('base-pms_spbrasil'!E1178)</f>
        <v>2021</v>
      </c>
      <c r="C1178">
        <f>MONTH('base-pms_spbrasil'!E1178)</f>
        <v>1</v>
      </c>
      <c r="D1178" s="3" t="str">
        <f>UPPER(TEXT('base-pms_spbrasil'!E1178,"MMMM"))</f>
        <v>JANEIRO</v>
      </c>
    </row>
    <row r="1179" spans="1:4" x14ac:dyDescent="0.25">
      <c r="A1179" s="1">
        <v>44228</v>
      </c>
      <c r="B1179">
        <f>YEAR('base-pms_spbrasil'!E1179)</f>
        <v>2021</v>
      </c>
      <c r="C1179">
        <f>MONTH('base-pms_spbrasil'!E1179)</f>
        <v>2</v>
      </c>
      <c r="D1179" s="3" t="str">
        <f>UPPER(TEXT('base-pms_spbrasil'!E1179,"MMMM"))</f>
        <v>FEVEREIRO</v>
      </c>
    </row>
    <row r="1180" spans="1:4" x14ac:dyDescent="0.25">
      <c r="A1180" s="1">
        <v>44256</v>
      </c>
      <c r="B1180">
        <f>YEAR('base-pms_spbrasil'!E1180)</f>
        <v>2021</v>
      </c>
      <c r="C1180">
        <f>MONTH('base-pms_spbrasil'!E1180)</f>
        <v>3</v>
      </c>
      <c r="D1180" s="3" t="str">
        <f>UPPER(TEXT('base-pms_spbrasil'!E1180,"MMMM"))</f>
        <v>MARÇO</v>
      </c>
    </row>
    <row r="1181" spans="1:4" x14ac:dyDescent="0.25">
      <c r="A1181" s="1">
        <v>44287</v>
      </c>
      <c r="B1181">
        <f>YEAR('base-pms_spbrasil'!E1181)</f>
        <v>2021</v>
      </c>
      <c r="C1181">
        <f>MONTH('base-pms_spbrasil'!E1181)</f>
        <v>4</v>
      </c>
      <c r="D1181" s="3" t="str">
        <f>UPPER(TEXT('base-pms_spbrasil'!E1181,"MMMM"))</f>
        <v>ABRIL</v>
      </c>
    </row>
    <row r="1182" spans="1:4" x14ac:dyDescent="0.25">
      <c r="A1182" s="1">
        <v>44317</v>
      </c>
      <c r="B1182">
        <f>YEAR('base-pms_spbrasil'!E1182)</f>
        <v>2021</v>
      </c>
      <c r="C1182">
        <f>MONTH('base-pms_spbrasil'!E1182)</f>
        <v>5</v>
      </c>
      <c r="D1182" s="3" t="str">
        <f>UPPER(TEXT('base-pms_spbrasil'!E1182,"MMMM"))</f>
        <v>MAIO</v>
      </c>
    </row>
    <row r="1183" spans="1:4" x14ac:dyDescent="0.25">
      <c r="A1183" s="1">
        <v>44348</v>
      </c>
      <c r="B1183">
        <f>YEAR('base-pms_spbrasil'!E1183)</f>
        <v>2021</v>
      </c>
      <c r="C1183">
        <f>MONTH('base-pms_spbrasil'!E1183)</f>
        <v>6</v>
      </c>
      <c r="D1183" s="3" t="str">
        <f>UPPER(TEXT('base-pms_spbrasil'!E1183,"MMMM"))</f>
        <v>JUNHO</v>
      </c>
    </row>
    <row r="1184" spans="1:4" x14ac:dyDescent="0.25">
      <c r="A1184" s="1">
        <v>44378</v>
      </c>
      <c r="B1184">
        <f>YEAR('base-pms_spbrasil'!E1184)</f>
        <v>2021</v>
      </c>
      <c r="C1184">
        <f>MONTH('base-pms_spbrasil'!E1184)</f>
        <v>7</v>
      </c>
      <c r="D1184" s="3" t="str">
        <f>UPPER(TEXT('base-pms_spbrasil'!E1184,"MMMM"))</f>
        <v>JULHO</v>
      </c>
    </row>
    <row r="1185" spans="1:4" x14ac:dyDescent="0.25">
      <c r="A1185" s="1">
        <v>44409</v>
      </c>
      <c r="B1185">
        <f>YEAR('base-pms_spbrasil'!E1185)</f>
        <v>2021</v>
      </c>
      <c r="C1185">
        <f>MONTH('base-pms_spbrasil'!E1185)</f>
        <v>8</v>
      </c>
      <c r="D1185" s="3" t="str">
        <f>UPPER(TEXT('base-pms_spbrasil'!E1185,"MMMM"))</f>
        <v>AGOSTO</v>
      </c>
    </row>
    <row r="1186" spans="1:4" x14ac:dyDescent="0.25">
      <c r="A1186" s="1">
        <v>44440</v>
      </c>
      <c r="B1186">
        <f>YEAR('base-pms_spbrasil'!E1186)</f>
        <v>2021</v>
      </c>
      <c r="C1186">
        <f>MONTH('base-pms_spbrasil'!E1186)</f>
        <v>9</v>
      </c>
      <c r="D1186" s="3" t="str">
        <f>UPPER(TEXT('base-pms_spbrasil'!E1186,"MMMM"))</f>
        <v>SETEMBRO</v>
      </c>
    </row>
    <row r="1187" spans="1:4" x14ac:dyDescent="0.25">
      <c r="A1187" s="1">
        <v>44470</v>
      </c>
      <c r="B1187">
        <f>YEAR('base-pms_spbrasil'!E1187)</f>
        <v>2021</v>
      </c>
      <c r="C1187">
        <f>MONTH('base-pms_spbrasil'!E1187)</f>
        <v>10</v>
      </c>
      <c r="D1187" s="3" t="str">
        <f>UPPER(TEXT('base-pms_spbrasil'!E1187,"MMMM"))</f>
        <v>OUTUBRO</v>
      </c>
    </row>
    <row r="1188" spans="1:4" x14ac:dyDescent="0.25">
      <c r="A1188" s="1">
        <v>44501</v>
      </c>
      <c r="B1188">
        <f>YEAR('base-pms_spbrasil'!E1188)</f>
        <v>2021</v>
      </c>
      <c r="C1188">
        <f>MONTH('base-pms_spbrasil'!E1188)</f>
        <v>11</v>
      </c>
      <c r="D1188" s="3" t="str">
        <f>UPPER(TEXT('base-pms_spbrasil'!E1188,"MMMM"))</f>
        <v>NOVEMBRO</v>
      </c>
    </row>
    <row r="1189" spans="1:4" x14ac:dyDescent="0.25">
      <c r="A1189" s="1">
        <v>44531</v>
      </c>
      <c r="B1189">
        <f>YEAR('base-pms_spbrasil'!E1189)</f>
        <v>2021</v>
      </c>
      <c r="C1189">
        <f>MONTH('base-pms_spbrasil'!E1189)</f>
        <v>12</v>
      </c>
      <c r="D1189" s="3" t="str">
        <f>UPPER(TEXT('base-pms_spbrasil'!E1189,"MMMM"))</f>
        <v>DEZEMBRO</v>
      </c>
    </row>
    <row r="1190" spans="1:4" x14ac:dyDescent="0.25">
      <c r="A1190" s="1">
        <v>44562</v>
      </c>
      <c r="B1190">
        <f>YEAR('base-pms_spbrasil'!E1190)</f>
        <v>2022</v>
      </c>
      <c r="C1190">
        <f>MONTH('base-pms_spbrasil'!E1190)</f>
        <v>1</v>
      </c>
      <c r="D1190" s="3" t="str">
        <f>UPPER(TEXT('base-pms_spbrasil'!E1190,"MMMM"))</f>
        <v>JANEIRO</v>
      </c>
    </row>
    <row r="1191" spans="1:4" x14ac:dyDescent="0.25">
      <c r="A1191" s="1">
        <v>44593</v>
      </c>
      <c r="B1191">
        <f>YEAR('base-pms_spbrasil'!E1191)</f>
        <v>2022</v>
      </c>
      <c r="C1191">
        <f>MONTH('base-pms_spbrasil'!E1191)</f>
        <v>2</v>
      </c>
      <c r="D1191" s="3" t="str">
        <f>UPPER(TEXT('base-pms_spbrasil'!E1191,"MMMM"))</f>
        <v>FEVEREIRO</v>
      </c>
    </row>
    <row r="1192" spans="1:4" x14ac:dyDescent="0.25">
      <c r="A1192" s="1">
        <v>44621</v>
      </c>
      <c r="B1192">
        <f>YEAR('base-pms_spbrasil'!E1192)</f>
        <v>2022</v>
      </c>
      <c r="C1192">
        <f>MONTH('base-pms_spbrasil'!E1192)</f>
        <v>3</v>
      </c>
      <c r="D1192" s="3" t="str">
        <f>UPPER(TEXT('base-pms_spbrasil'!E1192,"MMMM"))</f>
        <v>MARÇO</v>
      </c>
    </row>
    <row r="1193" spans="1:4" x14ac:dyDescent="0.25">
      <c r="A1193" s="1">
        <v>44652</v>
      </c>
      <c r="B1193">
        <f>YEAR('base-pms_spbrasil'!E1193)</f>
        <v>2022</v>
      </c>
      <c r="C1193">
        <f>MONTH('base-pms_spbrasil'!E1193)</f>
        <v>4</v>
      </c>
      <c r="D1193" s="3" t="str">
        <f>UPPER(TEXT('base-pms_spbrasil'!E1193,"MMMM"))</f>
        <v>ABRIL</v>
      </c>
    </row>
    <row r="1194" spans="1:4" x14ac:dyDescent="0.25">
      <c r="A1194" s="1">
        <v>44682</v>
      </c>
      <c r="B1194">
        <f>YEAR('base-pms_spbrasil'!E1194)</f>
        <v>2022</v>
      </c>
      <c r="C1194">
        <f>MONTH('base-pms_spbrasil'!E1194)</f>
        <v>5</v>
      </c>
      <c r="D1194" s="3" t="str">
        <f>UPPER(TEXT('base-pms_spbrasil'!E1194,"MMMM"))</f>
        <v>MAIO</v>
      </c>
    </row>
    <row r="1195" spans="1:4" x14ac:dyDescent="0.25">
      <c r="A1195" s="1">
        <v>44713</v>
      </c>
      <c r="B1195">
        <f>YEAR('base-pms_spbrasil'!E1195)</f>
        <v>2022</v>
      </c>
      <c r="C1195">
        <f>MONTH('base-pms_spbrasil'!E1195)</f>
        <v>6</v>
      </c>
      <c r="D1195" s="3" t="str">
        <f>UPPER(TEXT('base-pms_spbrasil'!E1195,"MMMM"))</f>
        <v>JUNHO</v>
      </c>
    </row>
    <row r="1196" spans="1:4" x14ac:dyDescent="0.25">
      <c r="A1196" s="1">
        <v>44743</v>
      </c>
      <c r="B1196">
        <f>YEAR('base-pms_spbrasil'!E1196)</f>
        <v>2022</v>
      </c>
      <c r="C1196">
        <f>MONTH('base-pms_spbrasil'!E1196)</f>
        <v>7</v>
      </c>
      <c r="D1196" s="3" t="str">
        <f>UPPER(TEXT('base-pms_spbrasil'!E1196,"MMMM"))</f>
        <v>JULHO</v>
      </c>
    </row>
    <row r="1197" spans="1:4" x14ac:dyDescent="0.25">
      <c r="A1197" s="1">
        <v>44774</v>
      </c>
      <c r="B1197">
        <f>YEAR('base-pms_spbrasil'!E1197)</f>
        <v>2022</v>
      </c>
      <c r="C1197">
        <f>MONTH('base-pms_spbrasil'!E1197)</f>
        <v>8</v>
      </c>
      <c r="D1197" s="3" t="str">
        <f>UPPER(TEXT('base-pms_spbrasil'!E1197,"MMMM"))</f>
        <v>AGOSTO</v>
      </c>
    </row>
    <row r="1198" spans="1:4" x14ac:dyDescent="0.25">
      <c r="A1198" s="1">
        <v>44805</v>
      </c>
      <c r="B1198">
        <f>YEAR('base-pms_spbrasil'!E1198)</f>
        <v>2022</v>
      </c>
      <c r="C1198">
        <f>MONTH('base-pms_spbrasil'!E1198)</f>
        <v>9</v>
      </c>
      <c r="D1198" s="3" t="str">
        <f>UPPER(TEXT('base-pms_spbrasil'!E1198,"MMMM"))</f>
        <v>SETEMBRO</v>
      </c>
    </row>
    <row r="1199" spans="1:4" x14ac:dyDescent="0.25">
      <c r="A1199" s="1">
        <v>44835</v>
      </c>
      <c r="B1199">
        <f>YEAR('base-pms_spbrasil'!E1199)</f>
        <v>2022</v>
      </c>
      <c r="C1199">
        <f>MONTH('base-pms_spbrasil'!E1199)</f>
        <v>10</v>
      </c>
      <c r="D1199" s="3" t="str">
        <f>UPPER(TEXT('base-pms_spbrasil'!E1199,"MMMM"))</f>
        <v>OUTUBRO</v>
      </c>
    </row>
    <row r="1200" spans="1:4" x14ac:dyDescent="0.25">
      <c r="A1200" s="1">
        <v>44866</v>
      </c>
      <c r="B1200">
        <f>YEAR('base-pms_spbrasil'!E1200)</f>
        <v>2022</v>
      </c>
      <c r="C1200">
        <f>MONTH('base-pms_spbrasil'!E1200)</f>
        <v>11</v>
      </c>
      <c r="D1200" s="3" t="str">
        <f>UPPER(TEXT('base-pms_spbrasil'!E1200,"MMMM"))</f>
        <v>NOVEMBRO</v>
      </c>
    </row>
    <row r="1201" spans="1:4" x14ac:dyDescent="0.25">
      <c r="A1201" s="1">
        <v>44896</v>
      </c>
      <c r="B1201">
        <f>YEAR('base-pms_spbrasil'!E1201)</f>
        <v>2022</v>
      </c>
      <c r="C1201">
        <f>MONTH('base-pms_spbrasil'!E1201)</f>
        <v>12</v>
      </c>
      <c r="D1201" s="3" t="str">
        <f>UPPER(TEXT('base-pms_spbrasil'!E1201,"MMMM"))</f>
        <v>DEZEMBRO</v>
      </c>
    </row>
    <row r="1202" spans="1:4" x14ac:dyDescent="0.25">
      <c r="A1202" s="1">
        <v>44927</v>
      </c>
      <c r="B1202">
        <f>YEAR('base-pms_spbrasil'!E1202)</f>
        <v>2023</v>
      </c>
      <c r="C1202">
        <f>MONTH('base-pms_spbrasil'!E1202)</f>
        <v>1</v>
      </c>
      <c r="D1202" s="3" t="str">
        <f>UPPER(TEXT('base-pms_spbrasil'!E1202,"MMMM"))</f>
        <v>JANEIRO</v>
      </c>
    </row>
    <row r="1203" spans="1:4" x14ac:dyDescent="0.25">
      <c r="A1203" s="1">
        <v>44958</v>
      </c>
      <c r="B1203">
        <f>YEAR('base-pms_spbrasil'!E1203)</f>
        <v>2023</v>
      </c>
      <c r="C1203">
        <f>MONTH('base-pms_spbrasil'!E1203)</f>
        <v>2</v>
      </c>
      <c r="D1203" s="3" t="str">
        <f>UPPER(TEXT('base-pms_spbrasil'!E1203,"MMMM"))</f>
        <v>FEVEREIRO</v>
      </c>
    </row>
    <row r="1204" spans="1:4" x14ac:dyDescent="0.25">
      <c r="A1204" s="1">
        <v>44986</v>
      </c>
      <c r="B1204">
        <f>YEAR('base-pms_spbrasil'!E1204)</f>
        <v>2023</v>
      </c>
      <c r="C1204">
        <f>MONTH('base-pms_spbrasil'!E1204)</f>
        <v>3</v>
      </c>
      <c r="D1204" s="3" t="str">
        <f>UPPER(TEXT('base-pms_spbrasil'!E1204,"MMMM"))</f>
        <v>MARÇO</v>
      </c>
    </row>
    <row r="1205" spans="1:4" x14ac:dyDescent="0.25">
      <c r="A1205" s="1">
        <v>45017</v>
      </c>
      <c r="B1205">
        <f>YEAR('base-pms_spbrasil'!E1205)</f>
        <v>2023</v>
      </c>
      <c r="C1205">
        <f>MONTH('base-pms_spbrasil'!E1205)</f>
        <v>4</v>
      </c>
      <c r="D1205" s="3" t="str">
        <f>UPPER(TEXT('base-pms_spbrasil'!E1205,"MMMM"))</f>
        <v>ABRIL</v>
      </c>
    </row>
    <row r="1206" spans="1:4" x14ac:dyDescent="0.25">
      <c r="A1206" s="1">
        <v>45047</v>
      </c>
      <c r="B1206">
        <f>YEAR('base-pms_spbrasil'!E1206)</f>
        <v>2023</v>
      </c>
      <c r="C1206">
        <f>MONTH('base-pms_spbrasil'!E1206)</f>
        <v>5</v>
      </c>
      <c r="D1206" s="3" t="str">
        <f>UPPER(TEXT('base-pms_spbrasil'!E1206,"MMMM"))</f>
        <v>MAIO</v>
      </c>
    </row>
    <row r="1207" spans="1:4" x14ac:dyDescent="0.25">
      <c r="A1207" s="1">
        <v>45078</v>
      </c>
      <c r="B1207">
        <f>YEAR('base-pms_spbrasil'!E1207)</f>
        <v>2023</v>
      </c>
      <c r="C1207">
        <f>MONTH('base-pms_spbrasil'!E1207)</f>
        <v>6</v>
      </c>
      <c r="D1207" s="3" t="str">
        <f>UPPER(TEXT('base-pms_spbrasil'!E1207,"MMMM"))</f>
        <v>JUNHO</v>
      </c>
    </row>
    <row r="1208" spans="1:4" x14ac:dyDescent="0.25">
      <c r="A1208" s="1">
        <v>45108</v>
      </c>
      <c r="B1208">
        <f>YEAR('base-pms_spbrasil'!E1208)</f>
        <v>2023</v>
      </c>
      <c r="C1208">
        <f>MONTH('base-pms_spbrasil'!E1208)</f>
        <v>7</v>
      </c>
      <c r="D1208" s="3" t="str">
        <f>UPPER(TEXT('base-pms_spbrasil'!E1208,"MMMM"))</f>
        <v>JULHO</v>
      </c>
    </row>
    <row r="1209" spans="1:4" x14ac:dyDescent="0.25">
      <c r="A1209" s="1">
        <v>45139</v>
      </c>
      <c r="B1209">
        <f>YEAR('base-pms_spbrasil'!E1209)</f>
        <v>2023</v>
      </c>
      <c r="C1209">
        <f>MONTH('base-pms_spbrasil'!E1209)</f>
        <v>8</v>
      </c>
      <c r="D1209" s="3" t="str">
        <f>UPPER(TEXT('base-pms_spbrasil'!E1209,"MMMM"))</f>
        <v>AGOSTO</v>
      </c>
    </row>
    <row r="1210" spans="1:4" x14ac:dyDescent="0.25">
      <c r="A1210" s="1">
        <v>45170</v>
      </c>
      <c r="B1210">
        <f>YEAR('base-pms_spbrasil'!E1210)</f>
        <v>2023</v>
      </c>
      <c r="C1210">
        <f>MONTH('base-pms_spbrasil'!E1210)</f>
        <v>9</v>
      </c>
      <c r="D1210" s="3" t="str">
        <f>UPPER(TEXT('base-pms_spbrasil'!E1210,"MMMM"))</f>
        <v>SETEMBRO</v>
      </c>
    </row>
    <row r="1211" spans="1:4" x14ac:dyDescent="0.25">
      <c r="A1211" s="1">
        <v>45200</v>
      </c>
      <c r="B1211">
        <f>YEAR('base-pms_spbrasil'!E1211)</f>
        <v>2023</v>
      </c>
      <c r="C1211">
        <f>MONTH('base-pms_spbrasil'!E1211)</f>
        <v>10</v>
      </c>
      <c r="D1211" s="3" t="str">
        <f>UPPER(TEXT('base-pms_spbrasil'!E1211,"MMMM"))</f>
        <v>OUTUBRO</v>
      </c>
    </row>
    <row r="1212" spans="1:4" x14ac:dyDescent="0.25">
      <c r="A1212" s="1">
        <v>45231</v>
      </c>
      <c r="B1212">
        <f>YEAR('base-pms_spbrasil'!E1212)</f>
        <v>2023</v>
      </c>
      <c r="C1212">
        <f>MONTH('base-pms_spbrasil'!E1212)</f>
        <v>11</v>
      </c>
      <c r="D1212" s="3" t="str">
        <f>UPPER(TEXT('base-pms_spbrasil'!E1212,"MMMM"))</f>
        <v>NOVEMBRO</v>
      </c>
    </row>
    <row r="1213" spans="1:4" x14ac:dyDescent="0.25">
      <c r="A1213" s="1">
        <v>45261</v>
      </c>
      <c r="B1213">
        <f>YEAR('base-pms_spbrasil'!E1213)</f>
        <v>2023</v>
      </c>
      <c r="C1213">
        <f>MONTH('base-pms_spbrasil'!E1213)</f>
        <v>12</v>
      </c>
      <c r="D1213" s="3" t="str">
        <f>UPPER(TEXT('base-pms_spbrasil'!E1213,"MMMM"))</f>
        <v>DEZEMBRO</v>
      </c>
    </row>
    <row r="1214" spans="1:4" x14ac:dyDescent="0.25">
      <c r="A1214" s="1">
        <v>45292</v>
      </c>
      <c r="B1214">
        <f>YEAR('base-pms_spbrasil'!E1214)</f>
        <v>2024</v>
      </c>
      <c r="C1214">
        <f>MONTH('base-pms_spbrasil'!E1214)</f>
        <v>1</v>
      </c>
      <c r="D1214" s="3" t="str">
        <f>UPPER(TEXT('base-pms_spbrasil'!E1214,"MMMM"))</f>
        <v>JANEIRO</v>
      </c>
    </row>
    <row r="1215" spans="1:4" x14ac:dyDescent="0.25">
      <c r="A1215" s="1">
        <v>45323</v>
      </c>
      <c r="B1215">
        <f>YEAR('base-pms_spbrasil'!E1215)</f>
        <v>2024</v>
      </c>
      <c r="C1215">
        <f>MONTH('base-pms_spbrasil'!E1215)</f>
        <v>2</v>
      </c>
      <c r="D1215" s="3" t="str">
        <f>UPPER(TEXT('base-pms_spbrasil'!E1215,"MMMM"))</f>
        <v>FEVEREIRO</v>
      </c>
    </row>
    <row r="1216" spans="1:4" x14ac:dyDescent="0.25">
      <c r="A1216" s="1">
        <v>45352</v>
      </c>
      <c r="B1216">
        <f>YEAR('base-pms_spbrasil'!E1216)</f>
        <v>2024</v>
      </c>
      <c r="C1216">
        <f>MONTH('base-pms_spbrasil'!E1216)</f>
        <v>3</v>
      </c>
      <c r="D1216" s="3" t="str">
        <f>UPPER(TEXT('base-pms_spbrasil'!E1216,"MMMM"))</f>
        <v>MARÇO</v>
      </c>
    </row>
    <row r="1217" spans="1:4" x14ac:dyDescent="0.25">
      <c r="A1217" s="1">
        <v>45383</v>
      </c>
      <c r="B1217">
        <f>YEAR('base-pms_spbrasil'!E1217)</f>
        <v>2024</v>
      </c>
      <c r="C1217">
        <f>MONTH('base-pms_spbrasil'!E1217)</f>
        <v>4</v>
      </c>
      <c r="D1217" s="3" t="str">
        <f>UPPER(TEXT('base-pms_spbrasil'!E1217,"MMMM"))</f>
        <v>ABRIL</v>
      </c>
    </row>
    <row r="1218" spans="1:4" x14ac:dyDescent="0.25">
      <c r="A1218" s="1">
        <v>45413</v>
      </c>
      <c r="B1218">
        <f>YEAR('base-pms_spbrasil'!E1218)</f>
        <v>2024</v>
      </c>
      <c r="C1218">
        <f>MONTH('base-pms_spbrasil'!E1218)</f>
        <v>5</v>
      </c>
      <c r="D1218" s="3" t="str">
        <f>UPPER(TEXT('base-pms_spbrasil'!E1218,"MMMM"))</f>
        <v>MAIO</v>
      </c>
    </row>
    <row r="1219" spans="1:4" x14ac:dyDescent="0.25">
      <c r="A1219" s="1">
        <v>45444</v>
      </c>
      <c r="B1219">
        <f>YEAR('base-pms_spbrasil'!E1219)</f>
        <v>2024</v>
      </c>
      <c r="C1219">
        <f>MONTH('base-pms_spbrasil'!E1219)</f>
        <v>6</v>
      </c>
      <c r="D1219" s="3" t="str">
        <f>UPPER(TEXT('base-pms_spbrasil'!E1219,"MMMM"))</f>
        <v>JUNHO</v>
      </c>
    </row>
    <row r="1220" spans="1:4" x14ac:dyDescent="0.25">
      <c r="A1220" s="1">
        <v>45474</v>
      </c>
      <c r="B1220">
        <f>YEAR('base-pms_spbrasil'!E1220)</f>
        <v>2024</v>
      </c>
      <c r="C1220">
        <f>MONTH('base-pms_spbrasil'!E1220)</f>
        <v>7</v>
      </c>
      <c r="D1220" s="3" t="str">
        <f>UPPER(TEXT('base-pms_spbrasil'!E1220,"MMMM"))</f>
        <v>JULHO</v>
      </c>
    </row>
    <row r="1221" spans="1:4" x14ac:dyDescent="0.25">
      <c r="A1221" s="1">
        <v>45505</v>
      </c>
      <c r="B1221">
        <f>YEAR('base-pms_spbrasil'!E1221)</f>
        <v>2024</v>
      </c>
      <c r="C1221">
        <f>MONTH('base-pms_spbrasil'!E1221)</f>
        <v>8</v>
      </c>
      <c r="D1221" s="3" t="str">
        <f>UPPER(TEXT('base-pms_spbrasil'!E1221,"MMMM"))</f>
        <v>AGOSTO</v>
      </c>
    </row>
    <row r="1222" spans="1:4" x14ac:dyDescent="0.25">
      <c r="A1222" s="1">
        <v>45536</v>
      </c>
      <c r="B1222">
        <f>YEAR('base-pms_spbrasil'!E1222)</f>
        <v>2024</v>
      </c>
      <c r="C1222">
        <f>MONTH('base-pms_spbrasil'!E1222)</f>
        <v>9</v>
      </c>
      <c r="D1222" s="3" t="str">
        <f>UPPER(TEXT('base-pms_spbrasil'!E1222,"MMMM"))</f>
        <v>SETEMBRO</v>
      </c>
    </row>
    <row r="1223" spans="1:4" x14ac:dyDescent="0.25">
      <c r="A1223" s="1">
        <v>45566</v>
      </c>
      <c r="B1223">
        <f>YEAR('base-pms_spbrasil'!E1223)</f>
        <v>2024</v>
      </c>
      <c r="C1223">
        <f>MONTH('base-pms_spbrasil'!E1223)</f>
        <v>10</v>
      </c>
      <c r="D1223" s="3" t="str">
        <f>UPPER(TEXT('base-pms_spbrasil'!E1223,"MMMM"))</f>
        <v>OUTUBRO</v>
      </c>
    </row>
    <row r="1224" spans="1:4" x14ac:dyDescent="0.25">
      <c r="A1224" s="1">
        <v>45597</v>
      </c>
      <c r="B1224">
        <f>YEAR('base-pms_spbrasil'!E1224)</f>
        <v>2024</v>
      </c>
      <c r="C1224">
        <f>MONTH('base-pms_spbrasil'!E1224)</f>
        <v>11</v>
      </c>
      <c r="D1224" s="3" t="str">
        <f>UPPER(TEXT('base-pms_spbrasil'!E1224,"MMMM"))</f>
        <v>NOVEMBRO</v>
      </c>
    </row>
    <row r="1225" spans="1:4" x14ac:dyDescent="0.25">
      <c r="A1225" s="1">
        <v>45627</v>
      </c>
      <c r="B1225">
        <f>YEAR('base-pms_spbrasil'!E1225)</f>
        <v>2024</v>
      </c>
      <c r="C1225">
        <f>MONTH('base-pms_spbrasil'!E1225)</f>
        <v>12</v>
      </c>
      <c r="D1225" s="3" t="str">
        <f>UPPER(TEXT('base-pms_spbrasil'!E1225,"MMMM"))</f>
        <v>DEZEMBRO</v>
      </c>
    </row>
    <row r="1226" spans="1:4" x14ac:dyDescent="0.25">
      <c r="A1226" s="1">
        <v>45658</v>
      </c>
      <c r="B1226">
        <f>YEAR('base-pms_spbrasil'!E1226)</f>
        <v>2025</v>
      </c>
      <c r="C1226">
        <f>MONTH('base-pms_spbrasil'!E1226)</f>
        <v>1</v>
      </c>
      <c r="D1226" s="3" t="str">
        <f>UPPER(TEXT('base-pms_spbrasil'!E1226,"MMMM"))</f>
        <v>JANEIRO</v>
      </c>
    </row>
    <row r="1227" spans="1:4" x14ac:dyDescent="0.25">
      <c r="A1227" s="1">
        <v>45689</v>
      </c>
      <c r="B1227">
        <f>YEAR('base-pms_spbrasil'!E1227)</f>
        <v>2025</v>
      </c>
      <c r="C1227">
        <f>MONTH('base-pms_spbrasil'!E1227)</f>
        <v>2</v>
      </c>
      <c r="D1227" s="3" t="str">
        <f>UPPER(TEXT('base-pms_spbrasil'!E1227,"MMMM"))</f>
        <v>FEVEREIRO</v>
      </c>
    </row>
    <row r="1228" spans="1:4" x14ac:dyDescent="0.25">
      <c r="A1228" s="1">
        <v>45717</v>
      </c>
      <c r="B1228">
        <f>YEAR('base-pms_spbrasil'!E1228)</f>
        <v>2025</v>
      </c>
      <c r="C1228">
        <f>MONTH('base-pms_spbrasil'!E1228)</f>
        <v>3</v>
      </c>
      <c r="D1228" s="3" t="str">
        <f>UPPER(TEXT('base-pms_spbrasil'!E1228,"MMMM"))</f>
        <v>MARÇO</v>
      </c>
    </row>
    <row r="1229" spans="1:4" x14ac:dyDescent="0.25">
      <c r="A1229" s="1">
        <v>45748</v>
      </c>
      <c r="B1229">
        <f>YEAR('base-pms_spbrasil'!E1229)</f>
        <v>2025</v>
      </c>
      <c r="C1229">
        <f>MONTH('base-pms_spbrasil'!E1229)</f>
        <v>4</v>
      </c>
      <c r="D1229" s="3" t="str">
        <f>UPPER(TEXT('base-pms_spbrasil'!E1229,"MMMM"))</f>
        <v>ABRIL</v>
      </c>
    </row>
    <row r="1230" spans="1:4" x14ac:dyDescent="0.25">
      <c r="A1230" s="1">
        <v>45778</v>
      </c>
      <c r="B1230">
        <f>YEAR('base-pms_spbrasil'!E1230)</f>
        <v>2025</v>
      </c>
      <c r="C1230">
        <f>MONTH('base-pms_spbrasil'!E1230)</f>
        <v>5</v>
      </c>
      <c r="D1230" s="3" t="str">
        <f>UPPER(TEXT('base-pms_spbrasil'!E1230,"MMMM"))</f>
        <v>MAIO</v>
      </c>
    </row>
    <row r="1231" spans="1:4" x14ac:dyDescent="0.25">
      <c r="A1231" s="1">
        <v>45809</v>
      </c>
      <c r="B1231">
        <f>YEAR('base-pms_spbrasil'!E1231)</f>
        <v>2025</v>
      </c>
      <c r="C1231">
        <f>MONTH('base-pms_spbrasil'!E1231)</f>
        <v>6</v>
      </c>
      <c r="D1231" s="3" t="str">
        <f>UPPER(TEXT('base-pms_spbrasil'!E1231,"MMMM"))</f>
        <v>JUNHO</v>
      </c>
    </row>
    <row r="1232" spans="1:4" x14ac:dyDescent="0.25">
      <c r="A1232" s="1">
        <v>45839</v>
      </c>
      <c r="B1232">
        <f>YEAR('base-pms_spbrasil'!E1232)</f>
        <v>2025</v>
      </c>
      <c r="C1232">
        <f>MONTH('base-pms_spbrasil'!E1232)</f>
        <v>7</v>
      </c>
      <c r="D1232" s="3" t="str">
        <f>UPPER(TEXT('base-pms_spbrasil'!E1232,"MMMM"))</f>
        <v>JULHO</v>
      </c>
    </row>
    <row r="1233" spans="1:4" x14ac:dyDescent="0.25">
      <c r="A1233" s="1">
        <v>45870</v>
      </c>
      <c r="B1233">
        <f>YEAR('base-pms_spbrasil'!E1233)</f>
        <v>2025</v>
      </c>
      <c r="C1233">
        <f>MONTH('base-pms_spbrasil'!E1233)</f>
        <v>8</v>
      </c>
      <c r="D1233" s="3" t="str">
        <f>UPPER(TEXT('base-pms_spbrasil'!E1233,"MMMM"))</f>
        <v>AGOSTO</v>
      </c>
    </row>
    <row r="1234" spans="1:4" x14ac:dyDescent="0.25">
      <c r="A1234" s="1">
        <v>40544</v>
      </c>
      <c r="B1234">
        <f>YEAR('base-pms_spbrasil'!E1234)</f>
        <v>2011</v>
      </c>
      <c r="C1234">
        <f>MONTH('base-pms_spbrasil'!E1234)</f>
        <v>1</v>
      </c>
      <c r="D1234" s="3" t="str">
        <f>UPPER(TEXT('base-pms_spbrasil'!E1234,"MMMM"))</f>
        <v>JANEIRO</v>
      </c>
    </row>
    <row r="1235" spans="1:4" x14ac:dyDescent="0.25">
      <c r="A1235" s="1">
        <v>40575</v>
      </c>
      <c r="B1235">
        <f>YEAR('base-pms_spbrasil'!E1235)</f>
        <v>2011</v>
      </c>
      <c r="C1235">
        <f>MONTH('base-pms_spbrasil'!E1235)</f>
        <v>2</v>
      </c>
      <c r="D1235" s="3" t="str">
        <f>UPPER(TEXT('base-pms_spbrasil'!E1235,"MMMM"))</f>
        <v>FEVEREIRO</v>
      </c>
    </row>
    <row r="1236" spans="1:4" x14ac:dyDescent="0.25">
      <c r="A1236" s="1">
        <v>40603</v>
      </c>
      <c r="B1236">
        <f>YEAR('base-pms_spbrasil'!E1236)</f>
        <v>2011</v>
      </c>
      <c r="C1236">
        <f>MONTH('base-pms_spbrasil'!E1236)</f>
        <v>3</v>
      </c>
      <c r="D1236" s="3" t="str">
        <f>UPPER(TEXT('base-pms_spbrasil'!E1236,"MMMM"))</f>
        <v>MARÇO</v>
      </c>
    </row>
    <row r="1237" spans="1:4" x14ac:dyDescent="0.25">
      <c r="A1237" s="1">
        <v>40634</v>
      </c>
      <c r="B1237">
        <f>YEAR('base-pms_spbrasil'!E1237)</f>
        <v>2011</v>
      </c>
      <c r="C1237">
        <f>MONTH('base-pms_spbrasil'!E1237)</f>
        <v>4</v>
      </c>
      <c r="D1237" s="3" t="str">
        <f>UPPER(TEXT('base-pms_spbrasil'!E1237,"MMMM"))</f>
        <v>ABRIL</v>
      </c>
    </row>
    <row r="1238" spans="1:4" x14ac:dyDescent="0.25">
      <c r="A1238" s="1">
        <v>40664</v>
      </c>
      <c r="B1238">
        <f>YEAR('base-pms_spbrasil'!E1238)</f>
        <v>2011</v>
      </c>
      <c r="C1238">
        <f>MONTH('base-pms_spbrasil'!E1238)</f>
        <v>5</v>
      </c>
      <c r="D1238" s="3" t="str">
        <f>UPPER(TEXT('base-pms_spbrasil'!E1238,"MMMM"))</f>
        <v>MAIO</v>
      </c>
    </row>
    <row r="1239" spans="1:4" x14ac:dyDescent="0.25">
      <c r="A1239" s="1">
        <v>40695</v>
      </c>
      <c r="B1239">
        <f>YEAR('base-pms_spbrasil'!E1239)</f>
        <v>2011</v>
      </c>
      <c r="C1239">
        <f>MONTH('base-pms_spbrasil'!E1239)</f>
        <v>6</v>
      </c>
      <c r="D1239" s="3" t="str">
        <f>UPPER(TEXT('base-pms_spbrasil'!E1239,"MMMM"))</f>
        <v>JUNHO</v>
      </c>
    </row>
    <row r="1240" spans="1:4" x14ac:dyDescent="0.25">
      <c r="A1240" s="1">
        <v>40725</v>
      </c>
      <c r="B1240">
        <f>YEAR('base-pms_spbrasil'!E1240)</f>
        <v>2011</v>
      </c>
      <c r="C1240">
        <f>MONTH('base-pms_spbrasil'!E1240)</f>
        <v>7</v>
      </c>
      <c r="D1240" s="3" t="str">
        <f>UPPER(TEXT('base-pms_spbrasil'!E1240,"MMMM"))</f>
        <v>JULHO</v>
      </c>
    </row>
    <row r="1241" spans="1:4" x14ac:dyDescent="0.25">
      <c r="A1241" s="1">
        <v>40756</v>
      </c>
      <c r="B1241">
        <f>YEAR('base-pms_spbrasil'!E1241)</f>
        <v>2011</v>
      </c>
      <c r="C1241">
        <f>MONTH('base-pms_spbrasil'!E1241)</f>
        <v>8</v>
      </c>
      <c r="D1241" s="3" t="str">
        <f>UPPER(TEXT('base-pms_spbrasil'!E1241,"MMMM"))</f>
        <v>AGOSTO</v>
      </c>
    </row>
    <row r="1242" spans="1:4" x14ac:dyDescent="0.25">
      <c r="A1242" s="1">
        <v>40787</v>
      </c>
      <c r="B1242">
        <f>YEAR('base-pms_spbrasil'!E1242)</f>
        <v>2011</v>
      </c>
      <c r="C1242">
        <f>MONTH('base-pms_spbrasil'!E1242)</f>
        <v>9</v>
      </c>
      <c r="D1242" s="3" t="str">
        <f>UPPER(TEXT('base-pms_spbrasil'!E1242,"MMMM"))</f>
        <v>SETEMBRO</v>
      </c>
    </row>
    <row r="1243" spans="1:4" x14ac:dyDescent="0.25">
      <c r="A1243" s="1">
        <v>40817</v>
      </c>
      <c r="B1243">
        <f>YEAR('base-pms_spbrasil'!E1243)</f>
        <v>2011</v>
      </c>
      <c r="C1243">
        <f>MONTH('base-pms_spbrasil'!E1243)</f>
        <v>10</v>
      </c>
      <c r="D1243" s="3" t="str">
        <f>UPPER(TEXT('base-pms_spbrasil'!E1243,"MMMM"))</f>
        <v>OUTUBRO</v>
      </c>
    </row>
    <row r="1244" spans="1:4" x14ac:dyDescent="0.25">
      <c r="A1244" s="1">
        <v>40848</v>
      </c>
      <c r="B1244">
        <f>YEAR('base-pms_spbrasil'!E1244)</f>
        <v>2011</v>
      </c>
      <c r="C1244">
        <f>MONTH('base-pms_spbrasil'!E1244)</f>
        <v>11</v>
      </c>
      <c r="D1244" s="3" t="str">
        <f>UPPER(TEXT('base-pms_spbrasil'!E1244,"MMMM"))</f>
        <v>NOVEMBRO</v>
      </c>
    </row>
    <row r="1245" spans="1:4" x14ac:dyDescent="0.25">
      <c r="A1245" s="1">
        <v>40878</v>
      </c>
      <c r="B1245">
        <f>YEAR('base-pms_spbrasil'!E1245)</f>
        <v>2011</v>
      </c>
      <c r="C1245">
        <f>MONTH('base-pms_spbrasil'!E1245)</f>
        <v>12</v>
      </c>
      <c r="D1245" s="3" t="str">
        <f>UPPER(TEXT('base-pms_spbrasil'!E1245,"MMMM"))</f>
        <v>DEZEMBRO</v>
      </c>
    </row>
    <row r="1246" spans="1:4" x14ac:dyDescent="0.25">
      <c r="A1246" s="1">
        <v>40909</v>
      </c>
      <c r="B1246">
        <f>YEAR('base-pms_spbrasil'!E1246)</f>
        <v>2012</v>
      </c>
      <c r="C1246">
        <f>MONTH('base-pms_spbrasil'!E1246)</f>
        <v>1</v>
      </c>
      <c r="D1246" s="3" t="str">
        <f>UPPER(TEXT('base-pms_spbrasil'!E1246,"MMMM"))</f>
        <v>JANEIRO</v>
      </c>
    </row>
    <row r="1247" spans="1:4" x14ac:dyDescent="0.25">
      <c r="A1247" s="1">
        <v>40940</v>
      </c>
      <c r="B1247">
        <f>YEAR('base-pms_spbrasil'!E1247)</f>
        <v>2012</v>
      </c>
      <c r="C1247">
        <f>MONTH('base-pms_spbrasil'!E1247)</f>
        <v>2</v>
      </c>
      <c r="D1247" s="3" t="str">
        <f>UPPER(TEXT('base-pms_spbrasil'!E1247,"MMMM"))</f>
        <v>FEVEREIRO</v>
      </c>
    </row>
    <row r="1248" spans="1:4" x14ac:dyDescent="0.25">
      <c r="A1248" s="1">
        <v>40969</v>
      </c>
      <c r="B1248">
        <f>YEAR('base-pms_spbrasil'!E1248)</f>
        <v>2012</v>
      </c>
      <c r="C1248">
        <f>MONTH('base-pms_spbrasil'!E1248)</f>
        <v>3</v>
      </c>
      <c r="D1248" s="3" t="str">
        <f>UPPER(TEXT('base-pms_spbrasil'!E1248,"MMMM"))</f>
        <v>MARÇO</v>
      </c>
    </row>
    <row r="1249" spans="1:4" x14ac:dyDescent="0.25">
      <c r="A1249" s="1">
        <v>41000</v>
      </c>
      <c r="B1249">
        <f>YEAR('base-pms_spbrasil'!E1249)</f>
        <v>2012</v>
      </c>
      <c r="C1249">
        <f>MONTH('base-pms_spbrasil'!E1249)</f>
        <v>4</v>
      </c>
      <c r="D1249" s="3" t="str">
        <f>UPPER(TEXT('base-pms_spbrasil'!E1249,"MMMM"))</f>
        <v>ABRIL</v>
      </c>
    </row>
    <row r="1250" spans="1:4" x14ac:dyDescent="0.25">
      <c r="A1250" s="1">
        <v>41030</v>
      </c>
      <c r="B1250">
        <f>YEAR('base-pms_spbrasil'!E1250)</f>
        <v>2012</v>
      </c>
      <c r="C1250">
        <f>MONTH('base-pms_spbrasil'!E1250)</f>
        <v>5</v>
      </c>
      <c r="D1250" s="3" t="str">
        <f>UPPER(TEXT('base-pms_spbrasil'!E1250,"MMMM"))</f>
        <v>MAIO</v>
      </c>
    </row>
    <row r="1251" spans="1:4" x14ac:dyDescent="0.25">
      <c r="A1251" s="1">
        <v>41061</v>
      </c>
      <c r="B1251">
        <f>YEAR('base-pms_spbrasil'!E1251)</f>
        <v>2012</v>
      </c>
      <c r="C1251">
        <f>MONTH('base-pms_spbrasil'!E1251)</f>
        <v>6</v>
      </c>
      <c r="D1251" s="3" t="str">
        <f>UPPER(TEXT('base-pms_spbrasil'!E1251,"MMMM"))</f>
        <v>JUNHO</v>
      </c>
    </row>
    <row r="1252" spans="1:4" x14ac:dyDescent="0.25">
      <c r="A1252" s="1">
        <v>41091</v>
      </c>
      <c r="B1252">
        <f>YEAR('base-pms_spbrasil'!E1252)</f>
        <v>2012</v>
      </c>
      <c r="C1252">
        <f>MONTH('base-pms_spbrasil'!E1252)</f>
        <v>7</v>
      </c>
      <c r="D1252" s="3" t="str">
        <f>UPPER(TEXT('base-pms_spbrasil'!E1252,"MMMM"))</f>
        <v>JULHO</v>
      </c>
    </row>
    <row r="1253" spans="1:4" x14ac:dyDescent="0.25">
      <c r="A1253" s="1">
        <v>41122</v>
      </c>
      <c r="B1253">
        <f>YEAR('base-pms_spbrasil'!E1253)</f>
        <v>2012</v>
      </c>
      <c r="C1253">
        <f>MONTH('base-pms_spbrasil'!E1253)</f>
        <v>8</v>
      </c>
      <c r="D1253" s="3" t="str">
        <f>UPPER(TEXT('base-pms_spbrasil'!E1253,"MMMM"))</f>
        <v>AGOSTO</v>
      </c>
    </row>
    <row r="1254" spans="1:4" x14ac:dyDescent="0.25">
      <c r="A1254" s="1">
        <v>41153</v>
      </c>
      <c r="B1254">
        <f>YEAR('base-pms_spbrasil'!E1254)</f>
        <v>2012</v>
      </c>
      <c r="C1254">
        <f>MONTH('base-pms_spbrasil'!E1254)</f>
        <v>9</v>
      </c>
      <c r="D1254" s="3" t="str">
        <f>UPPER(TEXT('base-pms_spbrasil'!E1254,"MMMM"))</f>
        <v>SETEMBRO</v>
      </c>
    </row>
    <row r="1255" spans="1:4" x14ac:dyDescent="0.25">
      <c r="A1255" s="1">
        <v>41183</v>
      </c>
      <c r="B1255">
        <f>YEAR('base-pms_spbrasil'!E1255)</f>
        <v>2012</v>
      </c>
      <c r="C1255">
        <f>MONTH('base-pms_spbrasil'!E1255)</f>
        <v>10</v>
      </c>
      <c r="D1255" s="3" t="str">
        <f>UPPER(TEXT('base-pms_spbrasil'!E1255,"MMMM"))</f>
        <v>OUTUBRO</v>
      </c>
    </row>
    <row r="1256" spans="1:4" x14ac:dyDescent="0.25">
      <c r="A1256" s="1">
        <v>41214</v>
      </c>
      <c r="B1256">
        <f>YEAR('base-pms_spbrasil'!E1256)</f>
        <v>2012</v>
      </c>
      <c r="C1256">
        <f>MONTH('base-pms_spbrasil'!E1256)</f>
        <v>11</v>
      </c>
      <c r="D1256" s="3" t="str">
        <f>UPPER(TEXT('base-pms_spbrasil'!E1256,"MMMM"))</f>
        <v>NOVEMBRO</v>
      </c>
    </row>
    <row r="1257" spans="1:4" x14ac:dyDescent="0.25">
      <c r="A1257" s="1">
        <v>41244</v>
      </c>
      <c r="B1257">
        <f>YEAR('base-pms_spbrasil'!E1257)</f>
        <v>2012</v>
      </c>
      <c r="C1257">
        <f>MONTH('base-pms_spbrasil'!E1257)</f>
        <v>12</v>
      </c>
      <c r="D1257" s="3" t="str">
        <f>UPPER(TEXT('base-pms_spbrasil'!E1257,"MMMM"))</f>
        <v>DEZEMBRO</v>
      </c>
    </row>
    <row r="1258" spans="1:4" x14ac:dyDescent="0.25">
      <c r="A1258" s="1">
        <v>41275</v>
      </c>
      <c r="B1258">
        <f>YEAR('base-pms_spbrasil'!E1258)</f>
        <v>2013</v>
      </c>
      <c r="C1258">
        <f>MONTH('base-pms_spbrasil'!E1258)</f>
        <v>1</v>
      </c>
      <c r="D1258" s="3" t="str">
        <f>UPPER(TEXT('base-pms_spbrasil'!E1258,"MMMM"))</f>
        <v>JANEIRO</v>
      </c>
    </row>
    <row r="1259" spans="1:4" x14ac:dyDescent="0.25">
      <c r="A1259" s="1">
        <v>41306</v>
      </c>
      <c r="B1259">
        <f>YEAR('base-pms_spbrasil'!E1259)</f>
        <v>2013</v>
      </c>
      <c r="C1259">
        <f>MONTH('base-pms_spbrasil'!E1259)</f>
        <v>2</v>
      </c>
      <c r="D1259" s="3" t="str">
        <f>UPPER(TEXT('base-pms_spbrasil'!E1259,"MMMM"))</f>
        <v>FEVEREIRO</v>
      </c>
    </row>
    <row r="1260" spans="1:4" x14ac:dyDescent="0.25">
      <c r="A1260" s="1">
        <v>41334</v>
      </c>
      <c r="B1260">
        <f>YEAR('base-pms_spbrasil'!E1260)</f>
        <v>2013</v>
      </c>
      <c r="C1260">
        <f>MONTH('base-pms_spbrasil'!E1260)</f>
        <v>3</v>
      </c>
      <c r="D1260" s="3" t="str">
        <f>UPPER(TEXT('base-pms_spbrasil'!E1260,"MMMM"))</f>
        <v>MARÇO</v>
      </c>
    </row>
    <row r="1261" spans="1:4" x14ac:dyDescent="0.25">
      <c r="A1261" s="1">
        <v>41365</v>
      </c>
      <c r="B1261">
        <f>YEAR('base-pms_spbrasil'!E1261)</f>
        <v>2013</v>
      </c>
      <c r="C1261">
        <f>MONTH('base-pms_spbrasil'!E1261)</f>
        <v>4</v>
      </c>
      <c r="D1261" s="3" t="str">
        <f>UPPER(TEXT('base-pms_spbrasil'!E1261,"MMMM"))</f>
        <v>ABRIL</v>
      </c>
    </row>
    <row r="1262" spans="1:4" x14ac:dyDescent="0.25">
      <c r="A1262" s="1">
        <v>41395</v>
      </c>
      <c r="B1262">
        <f>YEAR('base-pms_spbrasil'!E1262)</f>
        <v>2013</v>
      </c>
      <c r="C1262">
        <f>MONTH('base-pms_spbrasil'!E1262)</f>
        <v>5</v>
      </c>
      <c r="D1262" s="3" t="str">
        <f>UPPER(TEXT('base-pms_spbrasil'!E1262,"MMMM"))</f>
        <v>MAIO</v>
      </c>
    </row>
    <row r="1263" spans="1:4" x14ac:dyDescent="0.25">
      <c r="A1263" s="1">
        <v>41426</v>
      </c>
      <c r="B1263">
        <f>YEAR('base-pms_spbrasil'!E1263)</f>
        <v>2013</v>
      </c>
      <c r="C1263">
        <f>MONTH('base-pms_spbrasil'!E1263)</f>
        <v>6</v>
      </c>
      <c r="D1263" s="3" t="str">
        <f>UPPER(TEXT('base-pms_spbrasil'!E1263,"MMMM"))</f>
        <v>JUNHO</v>
      </c>
    </row>
    <row r="1264" spans="1:4" x14ac:dyDescent="0.25">
      <c r="A1264" s="1">
        <v>41456</v>
      </c>
      <c r="B1264">
        <f>YEAR('base-pms_spbrasil'!E1264)</f>
        <v>2013</v>
      </c>
      <c r="C1264">
        <f>MONTH('base-pms_spbrasil'!E1264)</f>
        <v>7</v>
      </c>
      <c r="D1264" s="3" t="str">
        <f>UPPER(TEXT('base-pms_spbrasil'!E1264,"MMMM"))</f>
        <v>JULHO</v>
      </c>
    </row>
    <row r="1265" spans="1:4" x14ac:dyDescent="0.25">
      <c r="A1265" s="1">
        <v>41487</v>
      </c>
      <c r="B1265">
        <f>YEAR('base-pms_spbrasil'!E1265)</f>
        <v>2013</v>
      </c>
      <c r="C1265">
        <f>MONTH('base-pms_spbrasil'!E1265)</f>
        <v>8</v>
      </c>
      <c r="D1265" s="3" t="str">
        <f>UPPER(TEXT('base-pms_spbrasil'!E1265,"MMMM"))</f>
        <v>AGOSTO</v>
      </c>
    </row>
    <row r="1266" spans="1:4" x14ac:dyDescent="0.25">
      <c r="A1266" s="1">
        <v>41518</v>
      </c>
      <c r="B1266">
        <f>YEAR('base-pms_spbrasil'!E1266)</f>
        <v>2013</v>
      </c>
      <c r="C1266">
        <f>MONTH('base-pms_spbrasil'!E1266)</f>
        <v>9</v>
      </c>
      <c r="D1266" s="3" t="str">
        <f>UPPER(TEXT('base-pms_spbrasil'!E1266,"MMMM"))</f>
        <v>SETEMBRO</v>
      </c>
    </row>
    <row r="1267" spans="1:4" x14ac:dyDescent="0.25">
      <c r="A1267" s="1">
        <v>41548</v>
      </c>
      <c r="B1267">
        <f>YEAR('base-pms_spbrasil'!E1267)</f>
        <v>2013</v>
      </c>
      <c r="C1267">
        <f>MONTH('base-pms_spbrasil'!E1267)</f>
        <v>10</v>
      </c>
      <c r="D1267" s="3" t="str">
        <f>UPPER(TEXT('base-pms_spbrasil'!E1267,"MMMM"))</f>
        <v>OUTUBRO</v>
      </c>
    </row>
    <row r="1268" spans="1:4" x14ac:dyDescent="0.25">
      <c r="A1268" s="1">
        <v>41579</v>
      </c>
      <c r="B1268">
        <f>YEAR('base-pms_spbrasil'!E1268)</f>
        <v>2013</v>
      </c>
      <c r="C1268">
        <f>MONTH('base-pms_spbrasil'!E1268)</f>
        <v>11</v>
      </c>
      <c r="D1268" s="3" t="str">
        <f>UPPER(TEXT('base-pms_spbrasil'!E1268,"MMMM"))</f>
        <v>NOVEMBRO</v>
      </c>
    </row>
    <row r="1269" spans="1:4" x14ac:dyDescent="0.25">
      <c r="A1269" s="1">
        <v>41609</v>
      </c>
      <c r="B1269">
        <f>YEAR('base-pms_spbrasil'!E1269)</f>
        <v>2013</v>
      </c>
      <c r="C1269">
        <f>MONTH('base-pms_spbrasil'!E1269)</f>
        <v>12</v>
      </c>
      <c r="D1269" s="3" t="str">
        <f>UPPER(TEXT('base-pms_spbrasil'!E1269,"MMMM"))</f>
        <v>DEZEMBRO</v>
      </c>
    </row>
    <row r="1270" spans="1:4" x14ac:dyDescent="0.25">
      <c r="A1270" s="1">
        <v>41640</v>
      </c>
      <c r="B1270">
        <f>YEAR('base-pms_spbrasil'!E1270)</f>
        <v>2014</v>
      </c>
      <c r="C1270">
        <f>MONTH('base-pms_spbrasil'!E1270)</f>
        <v>1</v>
      </c>
      <c r="D1270" s="3" t="str">
        <f>UPPER(TEXT('base-pms_spbrasil'!E1270,"MMMM"))</f>
        <v>JANEIRO</v>
      </c>
    </row>
    <row r="1271" spans="1:4" x14ac:dyDescent="0.25">
      <c r="A1271" s="1">
        <v>41671</v>
      </c>
      <c r="B1271">
        <f>YEAR('base-pms_spbrasil'!E1271)</f>
        <v>2014</v>
      </c>
      <c r="C1271">
        <f>MONTH('base-pms_spbrasil'!E1271)</f>
        <v>2</v>
      </c>
      <c r="D1271" s="3" t="str">
        <f>UPPER(TEXT('base-pms_spbrasil'!E1271,"MMMM"))</f>
        <v>FEVEREIRO</v>
      </c>
    </row>
    <row r="1272" spans="1:4" x14ac:dyDescent="0.25">
      <c r="A1272" s="1">
        <v>41699</v>
      </c>
      <c r="B1272">
        <f>YEAR('base-pms_spbrasil'!E1272)</f>
        <v>2014</v>
      </c>
      <c r="C1272">
        <f>MONTH('base-pms_spbrasil'!E1272)</f>
        <v>3</v>
      </c>
      <c r="D1272" s="3" t="str">
        <f>UPPER(TEXT('base-pms_spbrasil'!E1272,"MMMM"))</f>
        <v>MARÇO</v>
      </c>
    </row>
    <row r="1273" spans="1:4" x14ac:dyDescent="0.25">
      <c r="A1273" s="1">
        <v>41730</v>
      </c>
      <c r="B1273">
        <f>YEAR('base-pms_spbrasil'!E1273)</f>
        <v>2014</v>
      </c>
      <c r="C1273">
        <f>MONTH('base-pms_spbrasil'!E1273)</f>
        <v>4</v>
      </c>
      <c r="D1273" s="3" t="str">
        <f>UPPER(TEXT('base-pms_spbrasil'!E1273,"MMMM"))</f>
        <v>ABRIL</v>
      </c>
    </row>
    <row r="1274" spans="1:4" x14ac:dyDescent="0.25">
      <c r="A1274" s="1">
        <v>41760</v>
      </c>
      <c r="B1274">
        <f>YEAR('base-pms_spbrasil'!E1274)</f>
        <v>2014</v>
      </c>
      <c r="C1274">
        <f>MONTH('base-pms_spbrasil'!E1274)</f>
        <v>5</v>
      </c>
      <c r="D1274" s="3" t="str">
        <f>UPPER(TEXT('base-pms_spbrasil'!E1274,"MMMM"))</f>
        <v>MAIO</v>
      </c>
    </row>
    <row r="1275" spans="1:4" x14ac:dyDescent="0.25">
      <c r="A1275" s="1">
        <v>41791</v>
      </c>
      <c r="B1275">
        <f>YEAR('base-pms_spbrasil'!E1275)</f>
        <v>2014</v>
      </c>
      <c r="C1275">
        <f>MONTH('base-pms_spbrasil'!E1275)</f>
        <v>6</v>
      </c>
      <c r="D1275" s="3" t="str">
        <f>UPPER(TEXT('base-pms_spbrasil'!E1275,"MMMM"))</f>
        <v>JUNHO</v>
      </c>
    </row>
    <row r="1276" spans="1:4" x14ac:dyDescent="0.25">
      <c r="A1276" s="1">
        <v>41821</v>
      </c>
      <c r="B1276">
        <f>YEAR('base-pms_spbrasil'!E1276)</f>
        <v>2014</v>
      </c>
      <c r="C1276">
        <f>MONTH('base-pms_spbrasil'!E1276)</f>
        <v>7</v>
      </c>
      <c r="D1276" s="3" t="str">
        <f>UPPER(TEXT('base-pms_spbrasil'!E1276,"MMMM"))</f>
        <v>JULHO</v>
      </c>
    </row>
    <row r="1277" spans="1:4" x14ac:dyDescent="0.25">
      <c r="A1277" s="1">
        <v>41852</v>
      </c>
      <c r="B1277">
        <f>YEAR('base-pms_spbrasil'!E1277)</f>
        <v>2014</v>
      </c>
      <c r="C1277">
        <f>MONTH('base-pms_spbrasil'!E1277)</f>
        <v>8</v>
      </c>
      <c r="D1277" s="3" t="str">
        <f>UPPER(TEXT('base-pms_spbrasil'!E1277,"MMMM"))</f>
        <v>AGOSTO</v>
      </c>
    </row>
    <row r="1278" spans="1:4" x14ac:dyDescent="0.25">
      <c r="A1278" s="1">
        <v>41883</v>
      </c>
      <c r="B1278">
        <f>YEAR('base-pms_spbrasil'!E1278)</f>
        <v>2014</v>
      </c>
      <c r="C1278">
        <f>MONTH('base-pms_spbrasil'!E1278)</f>
        <v>9</v>
      </c>
      <c r="D1278" s="3" t="str">
        <f>UPPER(TEXT('base-pms_spbrasil'!E1278,"MMMM"))</f>
        <v>SETEMBRO</v>
      </c>
    </row>
    <row r="1279" spans="1:4" x14ac:dyDescent="0.25">
      <c r="A1279" s="1">
        <v>41913</v>
      </c>
      <c r="B1279">
        <f>YEAR('base-pms_spbrasil'!E1279)</f>
        <v>2014</v>
      </c>
      <c r="C1279">
        <f>MONTH('base-pms_spbrasil'!E1279)</f>
        <v>10</v>
      </c>
      <c r="D1279" s="3" t="str">
        <f>UPPER(TEXT('base-pms_spbrasil'!E1279,"MMMM"))</f>
        <v>OUTUBRO</v>
      </c>
    </row>
    <row r="1280" spans="1:4" x14ac:dyDescent="0.25">
      <c r="A1280" s="1">
        <v>41944</v>
      </c>
      <c r="B1280">
        <f>YEAR('base-pms_spbrasil'!E1280)</f>
        <v>2014</v>
      </c>
      <c r="C1280">
        <f>MONTH('base-pms_spbrasil'!E1280)</f>
        <v>11</v>
      </c>
      <c r="D1280" s="3" t="str">
        <f>UPPER(TEXT('base-pms_spbrasil'!E1280,"MMMM"))</f>
        <v>NOVEMBRO</v>
      </c>
    </row>
    <row r="1281" spans="1:4" x14ac:dyDescent="0.25">
      <c r="A1281" s="1">
        <v>41974</v>
      </c>
      <c r="B1281">
        <f>YEAR('base-pms_spbrasil'!E1281)</f>
        <v>2014</v>
      </c>
      <c r="C1281">
        <f>MONTH('base-pms_spbrasil'!E1281)</f>
        <v>12</v>
      </c>
      <c r="D1281" s="3" t="str">
        <f>UPPER(TEXT('base-pms_spbrasil'!E1281,"MMMM"))</f>
        <v>DEZEMBRO</v>
      </c>
    </row>
    <row r="1282" spans="1:4" x14ac:dyDescent="0.25">
      <c r="A1282" s="1">
        <v>42005</v>
      </c>
      <c r="B1282">
        <f>YEAR('base-pms_spbrasil'!E1282)</f>
        <v>2015</v>
      </c>
      <c r="C1282">
        <f>MONTH('base-pms_spbrasil'!E1282)</f>
        <v>1</v>
      </c>
      <c r="D1282" s="3" t="str">
        <f>UPPER(TEXT('base-pms_spbrasil'!E1282,"MMMM"))</f>
        <v>JANEIRO</v>
      </c>
    </row>
    <row r="1283" spans="1:4" x14ac:dyDescent="0.25">
      <c r="A1283" s="1">
        <v>42036</v>
      </c>
      <c r="B1283">
        <f>YEAR('base-pms_spbrasil'!E1283)</f>
        <v>2015</v>
      </c>
      <c r="C1283">
        <f>MONTH('base-pms_spbrasil'!E1283)</f>
        <v>2</v>
      </c>
      <c r="D1283" s="3" t="str">
        <f>UPPER(TEXT('base-pms_spbrasil'!E1283,"MMMM"))</f>
        <v>FEVEREIRO</v>
      </c>
    </row>
    <row r="1284" spans="1:4" x14ac:dyDescent="0.25">
      <c r="A1284" s="1">
        <v>42064</v>
      </c>
      <c r="B1284">
        <f>YEAR('base-pms_spbrasil'!E1284)</f>
        <v>2015</v>
      </c>
      <c r="C1284">
        <f>MONTH('base-pms_spbrasil'!E1284)</f>
        <v>3</v>
      </c>
      <c r="D1284" s="3" t="str">
        <f>UPPER(TEXT('base-pms_spbrasil'!E1284,"MMMM"))</f>
        <v>MARÇO</v>
      </c>
    </row>
    <row r="1285" spans="1:4" x14ac:dyDescent="0.25">
      <c r="A1285" s="1">
        <v>42095</v>
      </c>
      <c r="B1285">
        <f>YEAR('base-pms_spbrasil'!E1285)</f>
        <v>2015</v>
      </c>
      <c r="C1285">
        <f>MONTH('base-pms_spbrasil'!E1285)</f>
        <v>4</v>
      </c>
      <c r="D1285" s="3" t="str">
        <f>UPPER(TEXT('base-pms_spbrasil'!E1285,"MMMM"))</f>
        <v>ABRIL</v>
      </c>
    </row>
    <row r="1286" spans="1:4" x14ac:dyDescent="0.25">
      <c r="A1286" s="1">
        <v>42125</v>
      </c>
      <c r="B1286">
        <f>YEAR('base-pms_spbrasil'!E1286)</f>
        <v>2015</v>
      </c>
      <c r="C1286">
        <f>MONTH('base-pms_spbrasil'!E1286)</f>
        <v>5</v>
      </c>
      <c r="D1286" s="3" t="str">
        <f>UPPER(TEXT('base-pms_spbrasil'!E1286,"MMMM"))</f>
        <v>MAIO</v>
      </c>
    </row>
    <row r="1287" spans="1:4" x14ac:dyDescent="0.25">
      <c r="A1287" s="1">
        <v>42156</v>
      </c>
      <c r="B1287">
        <f>YEAR('base-pms_spbrasil'!E1287)</f>
        <v>2015</v>
      </c>
      <c r="C1287">
        <f>MONTH('base-pms_spbrasil'!E1287)</f>
        <v>6</v>
      </c>
      <c r="D1287" s="3" t="str">
        <f>UPPER(TEXT('base-pms_spbrasil'!E1287,"MMMM"))</f>
        <v>JUNHO</v>
      </c>
    </row>
    <row r="1288" spans="1:4" x14ac:dyDescent="0.25">
      <c r="A1288" s="1">
        <v>42186</v>
      </c>
      <c r="B1288">
        <f>YEAR('base-pms_spbrasil'!E1288)</f>
        <v>2015</v>
      </c>
      <c r="C1288">
        <f>MONTH('base-pms_spbrasil'!E1288)</f>
        <v>7</v>
      </c>
      <c r="D1288" s="3" t="str">
        <f>UPPER(TEXT('base-pms_spbrasil'!E1288,"MMMM"))</f>
        <v>JULHO</v>
      </c>
    </row>
    <row r="1289" spans="1:4" x14ac:dyDescent="0.25">
      <c r="A1289" s="1">
        <v>42217</v>
      </c>
      <c r="B1289">
        <f>YEAR('base-pms_spbrasil'!E1289)</f>
        <v>2015</v>
      </c>
      <c r="C1289">
        <f>MONTH('base-pms_spbrasil'!E1289)</f>
        <v>8</v>
      </c>
      <c r="D1289" s="3" t="str">
        <f>UPPER(TEXT('base-pms_spbrasil'!E1289,"MMMM"))</f>
        <v>AGOSTO</v>
      </c>
    </row>
    <row r="1290" spans="1:4" x14ac:dyDescent="0.25">
      <c r="A1290" s="1">
        <v>42248</v>
      </c>
      <c r="B1290">
        <f>YEAR('base-pms_spbrasil'!E1290)</f>
        <v>2015</v>
      </c>
      <c r="C1290">
        <f>MONTH('base-pms_spbrasil'!E1290)</f>
        <v>9</v>
      </c>
      <c r="D1290" s="3" t="str">
        <f>UPPER(TEXT('base-pms_spbrasil'!E1290,"MMMM"))</f>
        <v>SETEMBRO</v>
      </c>
    </row>
    <row r="1291" spans="1:4" x14ac:dyDescent="0.25">
      <c r="A1291" s="1">
        <v>42278</v>
      </c>
      <c r="B1291">
        <f>YEAR('base-pms_spbrasil'!E1291)</f>
        <v>2015</v>
      </c>
      <c r="C1291">
        <f>MONTH('base-pms_spbrasil'!E1291)</f>
        <v>10</v>
      </c>
      <c r="D1291" s="3" t="str">
        <f>UPPER(TEXT('base-pms_spbrasil'!E1291,"MMMM"))</f>
        <v>OUTUBRO</v>
      </c>
    </row>
    <row r="1292" spans="1:4" x14ac:dyDescent="0.25">
      <c r="A1292" s="1">
        <v>42309</v>
      </c>
      <c r="B1292">
        <f>YEAR('base-pms_spbrasil'!E1292)</f>
        <v>2015</v>
      </c>
      <c r="C1292">
        <f>MONTH('base-pms_spbrasil'!E1292)</f>
        <v>11</v>
      </c>
      <c r="D1292" s="3" t="str">
        <f>UPPER(TEXT('base-pms_spbrasil'!E1292,"MMMM"))</f>
        <v>NOVEMBRO</v>
      </c>
    </row>
    <row r="1293" spans="1:4" x14ac:dyDescent="0.25">
      <c r="A1293" s="1">
        <v>42339</v>
      </c>
      <c r="B1293">
        <f>YEAR('base-pms_spbrasil'!E1293)</f>
        <v>2015</v>
      </c>
      <c r="C1293">
        <f>MONTH('base-pms_spbrasil'!E1293)</f>
        <v>12</v>
      </c>
      <c r="D1293" s="3" t="str">
        <f>UPPER(TEXT('base-pms_spbrasil'!E1293,"MMMM"))</f>
        <v>DEZEMBRO</v>
      </c>
    </row>
    <row r="1294" spans="1:4" x14ac:dyDescent="0.25">
      <c r="A1294" s="1">
        <v>42370</v>
      </c>
      <c r="B1294">
        <f>YEAR('base-pms_spbrasil'!E1294)</f>
        <v>2016</v>
      </c>
      <c r="C1294">
        <f>MONTH('base-pms_spbrasil'!E1294)</f>
        <v>1</v>
      </c>
      <c r="D1294" s="3" t="str">
        <f>UPPER(TEXT('base-pms_spbrasil'!E1294,"MMMM"))</f>
        <v>JANEIRO</v>
      </c>
    </row>
    <row r="1295" spans="1:4" x14ac:dyDescent="0.25">
      <c r="A1295" s="1">
        <v>42401</v>
      </c>
      <c r="B1295">
        <f>YEAR('base-pms_spbrasil'!E1295)</f>
        <v>2016</v>
      </c>
      <c r="C1295">
        <f>MONTH('base-pms_spbrasil'!E1295)</f>
        <v>2</v>
      </c>
      <c r="D1295" s="3" t="str">
        <f>UPPER(TEXT('base-pms_spbrasil'!E1295,"MMMM"))</f>
        <v>FEVEREIRO</v>
      </c>
    </row>
    <row r="1296" spans="1:4" x14ac:dyDescent="0.25">
      <c r="A1296" s="1">
        <v>42430</v>
      </c>
      <c r="B1296">
        <f>YEAR('base-pms_spbrasil'!E1296)</f>
        <v>2016</v>
      </c>
      <c r="C1296">
        <f>MONTH('base-pms_spbrasil'!E1296)</f>
        <v>3</v>
      </c>
      <c r="D1296" s="3" t="str">
        <f>UPPER(TEXT('base-pms_spbrasil'!E1296,"MMMM"))</f>
        <v>MARÇO</v>
      </c>
    </row>
    <row r="1297" spans="1:4" x14ac:dyDescent="0.25">
      <c r="A1297" s="1">
        <v>42461</v>
      </c>
      <c r="B1297">
        <f>YEAR('base-pms_spbrasil'!E1297)</f>
        <v>2016</v>
      </c>
      <c r="C1297">
        <f>MONTH('base-pms_spbrasil'!E1297)</f>
        <v>4</v>
      </c>
      <c r="D1297" s="3" t="str">
        <f>UPPER(TEXT('base-pms_spbrasil'!E1297,"MMMM"))</f>
        <v>ABRIL</v>
      </c>
    </row>
    <row r="1298" spans="1:4" x14ac:dyDescent="0.25">
      <c r="A1298" s="1">
        <v>42491</v>
      </c>
      <c r="B1298">
        <f>YEAR('base-pms_spbrasil'!E1298)</f>
        <v>2016</v>
      </c>
      <c r="C1298">
        <f>MONTH('base-pms_spbrasil'!E1298)</f>
        <v>5</v>
      </c>
      <c r="D1298" s="3" t="str">
        <f>UPPER(TEXT('base-pms_spbrasil'!E1298,"MMMM"))</f>
        <v>MAIO</v>
      </c>
    </row>
    <row r="1299" spans="1:4" x14ac:dyDescent="0.25">
      <c r="A1299" s="1">
        <v>42522</v>
      </c>
      <c r="B1299">
        <f>YEAR('base-pms_spbrasil'!E1299)</f>
        <v>2016</v>
      </c>
      <c r="C1299">
        <f>MONTH('base-pms_spbrasil'!E1299)</f>
        <v>6</v>
      </c>
      <c r="D1299" s="3" t="str">
        <f>UPPER(TEXT('base-pms_spbrasil'!E1299,"MMMM"))</f>
        <v>JUNHO</v>
      </c>
    </row>
    <row r="1300" spans="1:4" x14ac:dyDescent="0.25">
      <c r="A1300" s="1">
        <v>42552</v>
      </c>
      <c r="B1300">
        <f>YEAR('base-pms_spbrasil'!E1300)</f>
        <v>2016</v>
      </c>
      <c r="C1300">
        <f>MONTH('base-pms_spbrasil'!E1300)</f>
        <v>7</v>
      </c>
      <c r="D1300" s="3" t="str">
        <f>UPPER(TEXT('base-pms_spbrasil'!E1300,"MMMM"))</f>
        <v>JULHO</v>
      </c>
    </row>
    <row r="1301" spans="1:4" x14ac:dyDescent="0.25">
      <c r="A1301" s="1">
        <v>42583</v>
      </c>
      <c r="B1301">
        <f>YEAR('base-pms_spbrasil'!E1301)</f>
        <v>2016</v>
      </c>
      <c r="C1301">
        <f>MONTH('base-pms_spbrasil'!E1301)</f>
        <v>8</v>
      </c>
      <c r="D1301" s="3" t="str">
        <f>UPPER(TEXT('base-pms_spbrasil'!E1301,"MMMM"))</f>
        <v>AGOSTO</v>
      </c>
    </row>
    <row r="1302" spans="1:4" x14ac:dyDescent="0.25">
      <c r="A1302" s="1">
        <v>42614</v>
      </c>
      <c r="B1302">
        <f>YEAR('base-pms_spbrasil'!E1302)</f>
        <v>2016</v>
      </c>
      <c r="C1302">
        <f>MONTH('base-pms_spbrasil'!E1302)</f>
        <v>9</v>
      </c>
      <c r="D1302" s="3" t="str">
        <f>UPPER(TEXT('base-pms_spbrasil'!E1302,"MMMM"))</f>
        <v>SETEMBRO</v>
      </c>
    </row>
    <row r="1303" spans="1:4" x14ac:dyDescent="0.25">
      <c r="A1303" s="1">
        <v>42644</v>
      </c>
      <c r="B1303">
        <f>YEAR('base-pms_spbrasil'!E1303)</f>
        <v>2016</v>
      </c>
      <c r="C1303">
        <f>MONTH('base-pms_spbrasil'!E1303)</f>
        <v>10</v>
      </c>
      <c r="D1303" s="3" t="str">
        <f>UPPER(TEXT('base-pms_spbrasil'!E1303,"MMMM"))</f>
        <v>OUTUBRO</v>
      </c>
    </row>
    <row r="1304" spans="1:4" x14ac:dyDescent="0.25">
      <c r="A1304" s="1">
        <v>42675</v>
      </c>
      <c r="B1304">
        <f>YEAR('base-pms_spbrasil'!E1304)</f>
        <v>2016</v>
      </c>
      <c r="C1304">
        <f>MONTH('base-pms_spbrasil'!E1304)</f>
        <v>11</v>
      </c>
      <c r="D1304" s="3" t="str">
        <f>UPPER(TEXT('base-pms_spbrasil'!E1304,"MMMM"))</f>
        <v>NOVEMBRO</v>
      </c>
    </row>
    <row r="1305" spans="1:4" x14ac:dyDescent="0.25">
      <c r="A1305" s="1">
        <v>42705</v>
      </c>
      <c r="B1305">
        <f>YEAR('base-pms_spbrasil'!E1305)</f>
        <v>2016</v>
      </c>
      <c r="C1305">
        <f>MONTH('base-pms_spbrasil'!E1305)</f>
        <v>12</v>
      </c>
      <c r="D1305" s="3" t="str">
        <f>UPPER(TEXT('base-pms_spbrasil'!E1305,"MMMM"))</f>
        <v>DEZEMBRO</v>
      </c>
    </row>
    <row r="1306" spans="1:4" x14ac:dyDescent="0.25">
      <c r="A1306" s="1">
        <v>42736</v>
      </c>
      <c r="B1306">
        <f>YEAR('base-pms_spbrasil'!E1306)</f>
        <v>2017</v>
      </c>
      <c r="C1306">
        <f>MONTH('base-pms_spbrasil'!E1306)</f>
        <v>1</v>
      </c>
      <c r="D1306" s="3" t="str">
        <f>UPPER(TEXT('base-pms_spbrasil'!E1306,"MMMM"))</f>
        <v>JANEIRO</v>
      </c>
    </row>
    <row r="1307" spans="1:4" x14ac:dyDescent="0.25">
      <c r="A1307" s="1">
        <v>42767</v>
      </c>
      <c r="B1307">
        <f>YEAR('base-pms_spbrasil'!E1307)</f>
        <v>2017</v>
      </c>
      <c r="C1307">
        <f>MONTH('base-pms_spbrasil'!E1307)</f>
        <v>2</v>
      </c>
      <c r="D1307" s="3" t="str">
        <f>UPPER(TEXT('base-pms_spbrasil'!E1307,"MMMM"))</f>
        <v>FEVEREIRO</v>
      </c>
    </row>
    <row r="1308" spans="1:4" x14ac:dyDescent="0.25">
      <c r="A1308" s="1">
        <v>42795</v>
      </c>
      <c r="B1308">
        <f>YEAR('base-pms_spbrasil'!E1308)</f>
        <v>2017</v>
      </c>
      <c r="C1308">
        <f>MONTH('base-pms_spbrasil'!E1308)</f>
        <v>3</v>
      </c>
      <c r="D1308" s="3" t="str">
        <f>UPPER(TEXT('base-pms_spbrasil'!E1308,"MMMM"))</f>
        <v>MARÇO</v>
      </c>
    </row>
    <row r="1309" spans="1:4" x14ac:dyDescent="0.25">
      <c r="A1309" s="1">
        <v>42826</v>
      </c>
      <c r="B1309">
        <f>YEAR('base-pms_spbrasil'!E1309)</f>
        <v>2017</v>
      </c>
      <c r="C1309">
        <f>MONTH('base-pms_spbrasil'!E1309)</f>
        <v>4</v>
      </c>
      <c r="D1309" s="3" t="str">
        <f>UPPER(TEXT('base-pms_spbrasil'!E1309,"MMMM"))</f>
        <v>ABRIL</v>
      </c>
    </row>
    <row r="1310" spans="1:4" x14ac:dyDescent="0.25">
      <c r="A1310" s="1">
        <v>42856</v>
      </c>
      <c r="B1310">
        <f>YEAR('base-pms_spbrasil'!E1310)</f>
        <v>2017</v>
      </c>
      <c r="C1310">
        <f>MONTH('base-pms_spbrasil'!E1310)</f>
        <v>5</v>
      </c>
      <c r="D1310" s="3" t="str">
        <f>UPPER(TEXT('base-pms_spbrasil'!E1310,"MMMM"))</f>
        <v>MAIO</v>
      </c>
    </row>
    <row r="1311" spans="1:4" x14ac:dyDescent="0.25">
      <c r="A1311" s="1">
        <v>42887</v>
      </c>
      <c r="B1311">
        <f>YEAR('base-pms_spbrasil'!E1311)</f>
        <v>2017</v>
      </c>
      <c r="C1311">
        <f>MONTH('base-pms_spbrasil'!E1311)</f>
        <v>6</v>
      </c>
      <c r="D1311" s="3" t="str">
        <f>UPPER(TEXT('base-pms_spbrasil'!E1311,"MMMM"))</f>
        <v>JUNHO</v>
      </c>
    </row>
    <row r="1312" spans="1:4" x14ac:dyDescent="0.25">
      <c r="A1312" s="1">
        <v>42917</v>
      </c>
      <c r="B1312">
        <f>YEAR('base-pms_spbrasil'!E1312)</f>
        <v>2017</v>
      </c>
      <c r="C1312">
        <f>MONTH('base-pms_spbrasil'!E1312)</f>
        <v>7</v>
      </c>
      <c r="D1312" s="3" t="str">
        <f>UPPER(TEXT('base-pms_spbrasil'!E1312,"MMMM"))</f>
        <v>JULHO</v>
      </c>
    </row>
    <row r="1313" spans="1:4" x14ac:dyDescent="0.25">
      <c r="A1313" s="1">
        <v>42948</v>
      </c>
      <c r="B1313">
        <f>YEAR('base-pms_spbrasil'!E1313)</f>
        <v>2017</v>
      </c>
      <c r="C1313">
        <f>MONTH('base-pms_spbrasil'!E1313)</f>
        <v>8</v>
      </c>
      <c r="D1313" s="3" t="str">
        <f>UPPER(TEXT('base-pms_spbrasil'!E1313,"MMMM"))</f>
        <v>AGOSTO</v>
      </c>
    </row>
    <row r="1314" spans="1:4" x14ac:dyDescent="0.25">
      <c r="A1314" s="1">
        <v>42979</v>
      </c>
      <c r="B1314">
        <f>YEAR('base-pms_spbrasil'!E1314)</f>
        <v>2017</v>
      </c>
      <c r="C1314">
        <f>MONTH('base-pms_spbrasil'!E1314)</f>
        <v>9</v>
      </c>
      <c r="D1314" s="3" t="str">
        <f>UPPER(TEXT('base-pms_spbrasil'!E1314,"MMMM"))</f>
        <v>SETEMBRO</v>
      </c>
    </row>
    <row r="1315" spans="1:4" x14ac:dyDescent="0.25">
      <c r="A1315" s="1">
        <v>43009</v>
      </c>
      <c r="B1315">
        <f>YEAR('base-pms_spbrasil'!E1315)</f>
        <v>2017</v>
      </c>
      <c r="C1315">
        <f>MONTH('base-pms_spbrasil'!E1315)</f>
        <v>10</v>
      </c>
      <c r="D1315" s="3" t="str">
        <f>UPPER(TEXT('base-pms_spbrasil'!E1315,"MMMM"))</f>
        <v>OUTUBRO</v>
      </c>
    </row>
    <row r="1316" spans="1:4" x14ac:dyDescent="0.25">
      <c r="A1316" s="1">
        <v>43040</v>
      </c>
      <c r="B1316">
        <f>YEAR('base-pms_spbrasil'!E1316)</f>
        <v>2017</v>
      </c>
      <c r="C1316">
        <f>MONTH('base-pms_spbrasil'!E1316)</f>
        <v>11</v>
      </c>
      <c r="D1316" s="3" t="str">
        <f>UPPER(TEXT('base-pms_spbrasil'!E1316,"MMMM"))</f>
        <v>NOVEMBRO</v>
      </c>
    </row>
    <row r="1317" spans="1:4" x14ac:dyDescent="0.25">
      <c r="A1317" s="1">
        <v>43070</v>
      </c>
      <c r="B1317">
        <f>YEAR('base-pms_spbrasil'!E1317)</f>
        <v>2017</v>
      </c>
      <c r="C1317">
        <f>MONTH('base-pms_spbrasil'!E1317)</f>
        <v>12</v>
      </c>
      <c r="D1317" s="3" t="str">
        <f>UPPER(TEXT('base-pms_spbrasil'!E1317,"MMMM"))</f>
        <v>DEZEMBRO</v>
      </c>
    </row>
    <row r="1318" spans="1:4" x14ac:dyDescent="0.25">
      <c r="A1318" s="1">
        <v>43101</v>
      </c>
      <c r="B1318">
        <f>YEAR('base-pms_spbrasil'!E1318)</f>
        <v>2018</v>
      </c>
      <c r="C1318">
        <f>MONTH('base-pms_spbrasil'!E1318)</f>
        <v>1</v>
      </c>
      <c r="D1318" s="3" t="str">
        <f>UPPER(TEXT('base-pms_spbrasil'!E1318,"MMMM"))</f>
        <v>JANEIRO</v>
      </c>
    </row>
    <row r="1319" spans="1:4" x14ac:dyDescent="0.25">
      <c r="A1319" s="1">
        <v>43132</v>
      </c>
      <c r="B1319">
        <f>YEAR('base-pms_spbrasil'!E1319)</f>
        <v>2018</v>
      </c>
      <c r="C1319">
        <f>MONTH('base-pms_spbrasil'!E1319)</f>
        <v>2</v>
      </c>
      <c r="D1319" s="3" t="str">
        <f>UPPER(TEXT('base-pms_spbrasil'!E1319,"MMMM"))</f>
        <v>FEVEREIRO</v>
      </c>
    </row>
    <row r="1320" spans="1:4" x14ac:dyDescent="0.25">
      <c r="A1320" s="1">
        <v>43160</v>
      </c>
      <c r="B1320">
        <f>YEAR('base-pms_spbrasil'!E1320)</f>
        <v>2018</v>
      </c>
      <c r="C1320">
        <f>MONTH('base-pms_spbrasil'!E1320)</f>
        <v>3</v>
      </c>
      <c r="D1320" s="3" t="str">
        <f>UPPER(TEXT('base-pms_spbrasil'!E1320,"MMMM"))</f>
        <v>MARÇO</v>
      </c>
    </row>
    <row r="1321" spans="1:4" x14ac:dyDescent="0.25">
      <c r="A1321" s="1">
        <v>43191</v>
      </c>
      <c r="B1321">
        <f>YEAR('base-pms_spbrasil'!E1321)</f>
        <v>2018</v>
      </c>
      <c r="C1321">
        <f>MONTH('base-pms_spbrasil'!E1321)</f>
        <v>4</v>
      </c>
      <c r="D1321" s="3" t="str">
        <f>UPPER(TEXT('base-pms_spbrasil'!E1321,"MMMM"))</f>
        <v>ABRIL</v>
      </c>
    </row>
    <row r="1322" spans="1:4" x14ac:dyDescent="0.25">
      <c r="A1322" s="1">
        <v>43221</v>
      </c>
      <c r="B1322">
        <f>YEAR('base-pms_spbrasil'!E1322)</f>
        <v>2018</v>
      </c>
      <c r="C1322">
        <f>MONTH('base-pms_spbrasil'!E1322)</f>
        <v>5</v>
      </c>
      <c r="D1322" s="3" t="str">
        <f>UPPER(TEXT('base-pms_spbrasil'!E1322,"MMMM"))</f>
        <v>MAIO</v>
      </c>
    </row>
    <row r="1323" spans="1:4" x14ac:dyDescent="0.25">
      <c r="A1323" s="1">
        <v>43252</v>
      </c>
      <c r="B1323">
        <f>YEAR('base-pms_spbrasil'!E1323)</f>
        <v>2018</v>
      </c>
      <c r="C1323">
        <f>MONTH('base-pms_spbrasil'!E1323)</f>
        <v>6</v>
      </c>
      <c r="D1323" s="3" t="str">
        <f>UPPER(TEXT('base-pms_spbrasil'!E1323,"MMMM"))</f>
        <v>JUNHO</v>
      </c>
    </row>
    <row r="1324" spans="1:4" x14ac:dyDescent="0.25">
      <c r="A1324" s="1">
        <v>43282</v>
      </c>
      <c r="B1324">
        <f>YEAR('base-pms_spbrasil'!E1324)</f>
        <v>2018</v>
      </c>
      <c r="C1324">
        <f>MONTH('base-pms_spbrasil'!E1324)</f>
        <v>7</v>
      </c>
      <c r="D1324" s="3" t="str">
        <f>UPPER(TEXT('base-pms_spbrasil'!E1324,"MMMM"))</f>
        <v>JULHO</v>
      </c>
    </row>
    <row r="1325" spans="1:4" x14ac:dyDescent="0.25">
      <c r="A1325" s="1">
        <v>43313</v>
      </c>
      <c r="B1325">
        <f>YEAR('base-pms_spbrasil'!E1325)</f>
        <v>2018</v>
      </c>
      <c r="C1325">
        <f>MONTH('base-pms_spbrasil'!E1325)</f>
        <v>8</v>
      </c>
      <c r="D1325" s="3" t="str">
        <f>UPPER(TEXT('base-pms_spbrasil'!E1325,"MMMM"))</f>
        <v>AGOSTO</v>
      </c>
    </row>
    <row r="1326" spans="1:4" x14ac:dyDescent="0.25">
      <c r="A1326" s="1">
        <v>43344</v>
      </c>
      <c r="B1326">
        <f>YEAR('base-pms_spbrasil'!E1326)</f>
        <v>2018</v>
      </c>
      <c r="C1326">
        <f>MONTH('base-pms_spbrasil'!E1326)</f>
        <v>9</v>
      </c>
      <c r="D1326" s="3" t="str">
        <f>UPPER(TEXT('base-pms_spbrasil'!E1326,"MMMM"))</f>
        <v>SETEMBRO</v>
      </c>
    </row>
    <row r="1327" spans="1:4" x14ac:dyDescent="0.25">
      <c r="A1327" s="1">
        <v>43374</v>
      </c>
      <c r="B1327">
        <f>YEAR('base-pms_spbrasil'!E1327)</f>
        <v>2018</v>
      </c>
      <c r="C1327">
        <f>MONTH('base-pms_spbrasil'!E1327)</f>
        <v>10</v>
      </c>
      <c r="D1327" s="3" t="str">
        <f>UPPER(TEXT('base-pms_spbrasil'!E1327,"MMMM"))</f>
        <v>OUTUBRO</v>
      </c>
    </row>
    <row r="1328" spans="1:4" x14ac:dyDescent="0.25">
      <c r="A1328" s="1">
        <v>43405</v>
      </c>
      <c r="B1328">
        <f>YEAR('base-pms_spbrasil'!E1328)</f>
        <v>2018</v>
      </c>
      <c r="C1328">
        <f>MONTH('base-pms_spbrasil'!E1328)</f>
        <v>11</v>
      </c>
      <c r="D1328" s="3" t="str">
        <f>UPPER(TEXT('base-pms_spbrasil'!E1328,"MMMM"))</f>
        <v>NOVEMBRO</v>
      </c>
    </row>
    <row r="1329" spans="1:4" x14ac:dyDescent="0.25">
      <c r="A1329" s="1">
        <v>43435</v>
      </c>
      <c r="B1329">
        <f>YEAR('base-pms_spbrasil'!E1329)</f>
        <v>2018</v>
      </c>
      <c r="C1329">
        <f>MONTH('base-pms_spbrasil'!E1329)</f>
        <v>12</v>
      </c>
      <c r="D1329" s="3" t="str">
        <f>UPPER(TEXT('base-pms_spbrasil'!E1329,"MMMM"))</f>
        <v>DEZEMBRO</v>
      </c>
    </row>
    <row r="1330" spans="1:4" x14ac:dyDescent="0.25">
      <c r="A1330" s="1">
        <v>43466</v>
      </c>
      <c r="B1330">
        <f>YEAR('base-pms_spbrasil'!E1330)</f>
        <v>2019</v>
      </c>
      <c r="C1330">
        <f>MONTH('base-pms_spbrasil'!E1330)</f>
        <v>1</v>
      </c>
      <c r="D1330" s="3" t="str">
        <f>UPPER(TEXT('base-pms_spbrasil'!E1330,"MMMM"))</f>
        <v>JANEIRO</v>
      </c>
    </row>
    <row r="1331" spans="1:4" x14ac:dyDescent="0.25">
      <c r="A1331" s="1">
        <v>43497</v>
      </c>
      <c r="B1331">
        <f>YEAR('base-pms_spbrasil'!E1331)</f>
        <v>2019</v>
      </c>
      <c r="C1331">
        <f>MONTH('base-pms_spbrasil'!E1331)</f>
        <v>2</v>
      </c>
      <c r="D1331" s="3" t="str">
        <f>UPPER(TEXT('base-pms_spbrasil'!E1331,"MMMM"))</f>
        <v>FEVEREIRO</v>
      </c>
    </row>
    <row r="1332" spans="1:4" x14ac:dyDescent="0.25">
      <c r="A1332" s="1">
        <v>43525</v>
      </c>
      <c r="B1332">
        <f>YEAR('base-pms_spbrasil'!E1332)</f>
        <v>2019</v>
      </c>
      <c r="C1332">
        <f>MONTH('base-pms_spbrasil'!E1332)</f>
        <v>3</v>
      </c>
      <c r="D1332" s="3" t="str">
        <f>UPPER(TEXT('base-pms_spbrasil'!E1332,"MMMM"))</f>
        <v>MARÇO</v>
      </c>
    </row>
    <row r="1333" spans="1:4" x14ac:dyDescent="0.25">
      <c r="A1333" s="1">
        <v>43556</v>
      </c>
      <c r="B1333">
        <f>YEAR('base-pms_spbrasil'!E1333)</f>
        <v>2019</v>
      </c>
      <c r="C1333">
        <f>MONTH('base-pms_spbrasil'!E1333)</f>
        <v>4</v>
      </c>
      <c r="D1333" s="3" t="str">
        <f>UPPER(TEXT('base-pms_spbrasil'!E1333,"MMMM"))</f>
        <v>ABRIL</v>
      </c>
    </row>
    <row r="1334" spans="1:4" x14ac:dyDescent="0.25">
      <c r="A1334" s="1">
        <v>43586</v>
      </c>
      <c r="B1334">
        <f>YEAR('base-pms_spbrasil'!E1334)</f>
        <v>2019</v>
      </c>
      <c r="C1334">
        <f>MONTH('base-pms_spbrasil'!E1334)</f>
        <v>5</v>
      </c>
      <c r="D1334" s="3" t="str">
        <f>UPPER(TEXT('base-pms_spbrasil'!E1334,"MMMM"))</f>
        <v>MAIO</v>
      </c>
    </row>
    <row r="1335" spans="1:4" x14ac:dyDescent="0.25">
      <c r="A1335" s="1">
        <v>43617</v>
      </c>
      <c r="B1335">
        <f>YEAR('base-pms_spbrasil'!E1335)</f>
        <v>2019</v>
      </c>
      <c r="C1335">
        <f>MONTH('base-pms_spbrasil'!E1335)</f>
        <v>6</v>
      </c>
      <c r="D1335" s="3" t="str">
        <f>UPPER(TEXT('base-pms_spbrasil'!E1335,"MMMM"))</f>
        <v>JUNHO</v>
      </c>
    </row>
    <row r="1336" spans="1:4" x14ac:dyDescent="0.25">
      <c r="A1336" s="1">
        <v>43647</v>
      </c>
      <c r="B1336">
        <f>YEAR('base-pms_spbrasil'!E1336)</f>
        <v>2019</v>
      </c>
      <c r="C1336">
        <f>MONTH('base-pms_spbrasil'!E1336)</f>
        <v>7</v>
      </c>
      <c r="D1336" s="3" t="str">
        <f>UPPER(TEXT('base-pms_spbrasil'!E1336,"MMMM"))</f>
        <v>JULHO</v>
      </c>
    </row>
    <row r="1337" spans="1:4" x14ac:dyDescent="0.25">
      <c r="A1337" s="1">
        <v>43678</v>
      </c>
      <c r="B1337">
        <f>YEAR('base-pms_spbrasil'!E1337)</f>
        <v>2019</v>
      </c>
      <c r="C1337">
        <f>MONTH('base-pms_spbrasil'!E1337)</f>
        <v>8</v>
      </c>
      <c r="D1337" s="3" t="str">
        <f>UPPER(TEXT('base-pms_spbrasil'!E1337,"MMMM"))</f>
        <v>AGOSTO</v>
      </c>
    </row>
    <row r="1338" spans="1:4" x14ac:dyDescent="0.25">
      <c r="A1338" s="1">
        <v>43709</v>
      </c>
      <c r="B1338">
        <f>YEAR('base-pms_spbrasil'!E1338)</f>
        <v>2019</v>
      </c>
      <c r="C1338">
        <f>MONTH('base-pms_spbrasil'!E1338)</f>
        <v>9</v>
      </c>
      <c r="D1338" s="3" t="str">
        <f>UPPER(TEXT('base-pms_spbrasil'!E1338,"MMMM"))</f>
        <v>SETEMBRO</v>
      </c>
    </row>
    <row r="1339" spans="1:4" x14ac:dyDescent="0.25">
      <c r="A1339" s="1">
        <v>43739</v>
      </c>
      <c r="B1339">
        <f>YEAR('base-pms_spbrasil'!E1339)</f>
        <v>2019</v>
      </c>
      <c r="C1339">
        <f>MONTH('base-pms_spbrasil'!E1339)</f>
        <v>10</v>
      </c>
      <c r="D1339" s="3" t="str">
        <f>UPPER(TEXT('base-pms_spbrasil'!E1339,"MMMM"))</f>
        <v>OUTUBRO</v>
      </c>
    </row>
    <row r="1340" spans="1:4" x14ac:dyDescent="0.25">
      <c r="A1340" s="1">
        <v>43770</v>
      </c>
      <c r="B1340">
        <f>YEAR('base-pms_spbrasil'!E1340)</f>
        <v>2019</v>
      </c>
      <c r="C1340">
        <f>MONTH('base-pms_spbrasil'!E1340)</f>
        <v>11</v>
      </c>
      <c r="D1340" s="3" t="str">
        <f>UPPER(TEXT('base-pms_spbrasil'!E1340,"MMMM"))</f>
        <v>NOVEMBRO</v>
      </c>
    </row>
    <row r="1341" spans="1:4" x14ac:dyDescent="0.25">
      <c r="A1341" s="1">
        <v>43800</v>
      </c>
      <c r="B1341">
        <f>YEAR('base-pms_spbrasil'!E1341)</f>
        <v>2019</v>
      </c>
      <c r="C1341">
        <f>MONTH('base-pms_spbrasil'!E1341)</f>
        <v>12</v>
      </c>
      <c r="D1341" s="3" t="str">
        <f>UPPER(TEXT('base-pms_spbrasil'!E1341,"MMMM"))</f>
        <v>DEZEMBRO</v>
      </c>
    </row>
    <row r="1342" spans="1:4" x14ac:dyDescent="0.25">
      <c r="A1342" s="1">
        <v>43831</v>
      </c>
      <c r="B1342">
        <f>YEAR('base-pms_spbrasil'!E1342)</f>
        <v>2020</v>
      </c>
      <c r="C1342">
        <f>MONTH('base-pms_spbrasil'!E1342)</f>
        <v>1</v>
      </c>
      <c r="D1342" s="3" t="str">
        <f>UPPER(TEXT('base-pms_spbrasil'!E1342,"MMMM"))</f>
        <v>JANEIRO</v>
      </c>
    </row>
    <row r="1343" spans="1:4" x14ac:dyDescent="0.25">
      <c r="A1343" s="1">
        <v>43862</v>
      </c>
      <c r="B1343">
        <f>YEAR('base-pms_spbrasil'!E1343)</f>
        <v>2020</v>
      </c>
      <c r="C1343">
        <f>MONTH('base-pms_spbrasil'!E1343)</f>
        <v>2</v>
      </c>
      <c r="D1343" s="3" t="str">
        <f>UPPER(TEXT('base-pms_spbrasil'!E1343,"MMMM"))</f>
        <v>FEVEREIRO</v>
      </c>
    </row>
    <row r="1344" spans="1:4" x14ac:dyDescent="0.25">
      <c r="A1344" s="1">
        <v>43891</v>
      </c>
      <c r="B1344">
        <f>YEAR('base-pms_spbrasil'!E1344)</f>
        <v>2020</v>
      </c>
      <c r="C1344">
        <f>MONTH('base-pms_spbrasil'!E1344)</f>
        <v>3</v>
      </c>
      <c r="D1344" s="3" t="str">
        <f>UPPER(TEXT('base-pms_spbrasil'!E1344,"MMMM"))</f>
        <v>MARÇO</v>
      </c>
    </row>
    <row r="1345" spans="1:4" x14ac:dyDescent="0.25">
      <c r="A1345" s="1">
        <v>43922</v>
      </c>
      <c r="B1345">
        <f>YEAR('base-pms_spbrasil'!E1345)</f>
        <v>2020</v>
      </c>
      <c r="C1345">
        <f>MONTH('base-pms_spbrasil'!E1345)</f>
        <v>4</v>
      </c>
      <c r="D1345" s="3" t="str">
        <f>UPPER(TEXT('base-pms_spbrasil'!E1345,"MMMM"))</f>
        <v>ABRIL</v>
      </c>
    </row>
    <row r="1346" spans="1:4" x14ac:dyDescent="0.25">
      <c r="A1346" s="1">
        <v>43952</v>
      </c>
      <c r="B1346">
        <f>YEAR('base-pms_spbrasil'!E1346)</f>
        <v>2020</v>
      </c>
      <c r="C1346">
        <f>MONTH('base-pms_spbrasil'!E1346)</f>
        <v>5</v>
      </c>
      <c r="D1346" s="3" t="str">
        <f>UPPER(TEXT('base-pms_spbrasil'!E1346,"MMMM"))</f>
        <v>MAIO</v>
      </c>
    </row>
    <row r="1347" spans="1:4" x14ac:dyDescent="0.25">
      <c r="A1347" s="1">
        <v>43983</v>
      </c>
      <c r="B1347">
        <f>YEAR('base-pms_spbrasil'!E1347)</f>
        <v>2020</v>
      </c>
      <c r="C1347">
        <f>MONTH('base-pms_spbrasil'!E1347)</f>
        <v>6</v>
      </c>
      <c r="D1347" s="3" t="str">
        <f>UPPER(TEXT('base-pms_spbrasil'!E1347,"MMMM"))</f>
        <v>JUNHO</v>
      </c>
    </row>
    <row r="1348" spans="1:4" x14ac:dyDescent="0.25">
      <c r="A1348" s="1">
        <v>44013</v>
      </c>
      <c r="B1348">
        <f>YEAR('base-pms_spbrasil'!E1348)</f>
        <v>2020</v>
      </c>
      <c r="C1348">
        <f>MONTH('base-pms_spbrasil'!E1348)</f>
        <v>7</v>
      </c>
      <c r="D1348" s="3" t="str">
        <f>UPPER(TEXT('base-pms_spbrasil'!E1348,"MMMM"))</f>
        <v>JULHO</v>
      </c>
    </row>
    <row r="1349" spans="1:4" x14ac:dyDescent="0.25">
      <c r="A1349" s="1">
        <v>44044</v>
      </c>
      <c r="B1349">
        <f>YEAR('base-pms_spbrasil'!E1349)</f>
        <v>2020</v>
      </c>
      <c r="C1349">
        <f>MONTH('base-pms_spbrasil'!E1349)</f>
        <v>8</v>
      </c>
      <c r="D1349" s="3" t="str">
        <f>UPPER(TEXT('base-pms_spbrasil'!E1349,"MMMM"))</f>
        <v>AGOSTO</v>
      </c>
    </row>
    <row r="1350" spans="1:4" x14ac:dyDescent="0.25">
      <c r="A1350" s="1">
        <v>44075</v>
      </c>
      <c r="B1350">
        <f>YEAR('base-pms_spbrasil'!E1350)</f>
        <v>2020</v>
      </c>
      <c r="C1350">
        <f>MONTH('base-pms_spbrasil'!E1350)</f>
        <v>9</v>
      </c>
      <c r="D1350" s="3" t="str">
        <f>UPPER(TEXT('base-pms_spbrasil'!E1350,"MMMM"))</f>
        <v>SETEMBRO</v>
      </c>
    </row>
    <row r="1351" spans="1:4" x14ac:dyDescent="0.25">
      <c r="A1351" s="1">
        <v>44105</v>
      </c>
      <c r="B1351">
        <f>YEAR('base-pms_spbrasil'!E1351)</f>
        <v>2020</v>
      </c>
      <c r="C1351">
        <f>MONTH('base-pms_spbrasil'!E1351)</f>
        <v>10</v>
      </c>
      <c r="D1351" s="3" t="str">
        <f>UPPER(TEXT('base-pms_spbrasil'!E1351,"MMMM"))</f>
        <v>OUTUBRO</v>
      </c>
    </row>
    <row r="1352" spans="1:4" x14ac:dyDescent="0.25">
      <c r="A1352" s="1">
        <v>44136</v>
      </c>
      <c r="B1352">
        <f>YEAR('base-pms_spbrasil'!E1352)</f>
        <v>2020</v>
      </c>
      <c r="C1352">
        <f>MONTH('base-pms_spbrasil'!E1352)</f>
        <v>11</v>
      </c>
      <c r="D1352" s="3" t="str">
        <f>UPPER(TEXT('base-pms_spbrasil'!E1352,"MMMM"))</f>
        <v>NOVEMBRO</v>
      </c>
    </row>
    <row r="1353" spans="1:4" x14ac:dyDescent="0.25">
      <c r="A1353" s="1">
        <v>44166</v>
      </c>
      <c r="B1353">
        <f>YEAR('base-pms_spbrasil'!E1353)</f>
        <v>2020</v>
      </c>
      <c r="C1353">
        <f>MONTH('base-pms_spbrasil'!E1353)</f>
        <v>12</v>
      </c>
      <c r="D1353" s="3" t="str">
        <f>UPPER(TEXT('base-pms_spbrasil'!E1353,"MMMM"))</f>
        <v>DEZEMBRO</v>
      </c>
    </row>
    <row r="1354" spans="1:4" x14ac:dyDescent="0.25">
      <c r="A1354" s="1">
        <v>44197</v>
      </c>
      <c r="B1354">
        <f>YEAR('base-pms_spbrasil'!E1354)</f>
        <v>2021</v>
      </c>
      <c r="C1354">
        <f>MONTH('base-pms_spbrasil'!E1354)</f>
        <v>1</v>
      </c>
      <c r="D1354" s="3" t="str">
        <f>UPPER(TEXT('base-pms_spbrasil'!E1354,"MMMM"))</f>
        <v>JANEIRO</v>
      </c>
    </row>
    <row r="1355" spans="1:4" x14ac:dyDescent="0.25">
      <c r="A1355" s="1">
        <v>44228</v>
      </c>
      <c r="B1355">
        <f>YEAR('base-pms_spbrasil'!E1355)</f>
        <v>2021</v>
      </c>
      <c r="C1355">
        <f>MONTH('base-pms_spbrasil'!E1355)</f>
        <v>2</v>
      </c>
      <c r="D1355" s="3" t="str">
        <f>UPPER(TEXT('base-pms_spbrasil'!E1355,"MMMM"))</f>
        <v>FEVEREIRO</v>
      </c>
    </row>
    <row r="1356" spans="1:4" x14ac:dyDescent="0.25">
      <c r="A1356" s="1">
        <v>44256</v>
      </c>
      <c r="B1356">
        <f>YEAR('base-pms_spbrasil'!E1356)</f>
        <v>2021</v>
      </c>
      <c r="C1356">
        <f>MONTH('base-pms_spbrasil'!E1356)</f>
        <v>3</v>
      </c>
      <c r="D1356" s="3" t="str">
        <f>UPPER(TEXT('base-pms_spbrasil'!E1356,"MMMM"))</f>
        <v>MARÇO</v>
      </c>
    </row>
    <row r="1357" spans="1:4" x14ac:dyDescent="0.25">
      <c r="A1357" s="1">
        <v>44287</v>
      </c>
      <c r="B1357">
        <f>YEAR('base-pms_spbrasil'!E1357)</f>
        <v>2021</v>
      </c>
      <c r="C1357">
        <f>MONTH('base-pms_spbrasil'!E1357)</f>
        <v>4</v>
      </c>
      <c r="D1357" s="3" t="str">
        <f>UPPER(TEXT('base-pms_spbrasil'!E1357,"MMMM"))</f>
        <v>ABRIL</v>
      </c>
    </row>
    <row r="1358" spans="1:4" x14ac:dyDescent="0.25">
      <c r="A1358" s="1">
        <v>44317</v>
      </c>
      <c r="B1358">
        <f>YEAR('base-pms_spbrasil'!E1358)</f>
        <v>2021</v>
      </c>
      <c r="C1358">
        <f>MONTH('base-pms_spbrasil'!E1358)</f>
        <v>5</v>
      </c>
      <c r="D1358" s="3" t="str">
        <f>UPPER(TEXT('base-pms_spbrasil'!E1358,"MMMM"))</f>
        <v>MAIO</v>
      </c>
    </row>
    <row r="1359" spans="1:4" x14ac:dyDescent="0.25">
      <c r="A1359" s="1">
        <v>44348</v>
      </c>
      <c r="B1359">
        <f>YEAR('base-pms_spbrasil'!E1359)</f>
        <v>2021</v>
      </c>
      <c r="C1359">
        <f>MONTH('base-pms_spbrasil'!E1359)</f>
        <v>6</v>
      </c>
      <c r="D1359" s="3" t="str">
        <f>UPPER(TEXT('base-pms_spbrasil'!E1359,"MMMM"))</f>
        <v>JUNHO</v>
      </c>
    </row>
    <row r="1360" spans="1:4" x14ac:dyDescent="0.25">
      <c r="A1360" s="1">
        <v>44378</v>
      </c>
      <c r="B1360">
        <f>YEAR('base-pms_spbrasil'!E1360)</f>
        <v>2021</v>
      </c>
      <c r="C1360">
        <f>MONTH('base-pms_spbrasil'!E1360)</f>
        <v>7</v>
      </c>
      <c r="D1360" s="3" t="str">
        <f>UPPER(TEXT('base-pms_spbrasil'!E1360,"MMMM"))</f>
        <v>JULHO</v>
      </c>
    </row>
    <row r="1361" spans="1:4" x14ac:dyDescent="0.25">
      <c r="A1361" s="1">
        <v>44409</v>
      </c>
      <c r="B1361">
        <f>YEAR('base-pms_spbrasil'!E1361)</f>
        <v>2021</v>
      </c>
      <c r="C1361">
        <f>MONTH('base-pms_spbrasil'!E1361)</f>
        <v>8</v>
      </c>
      <c r="D1361" s="3" t="str">
        <f>UPPER(TEXT('base-pms_spbrasil'!E1361,"MMMM"))</f>
        <v>AGOSTO</v>
      </c>
    </row>
    <row r="1362" spans="1:4" x14ac:dyDescent="0.25">
      <c r="A1362" s="1">
        <v>44440</v>
      </c>
      <c r="B1362">
        <f>YEAR('base-pms_spbrasil'!E1362)</f>
        <v>2021</v>
      </c>
      <c r="C1362">
        <f>MONTH('base-pms_spbrasil'!E1362)</f>
        <v>9</v>
      </c>
      <c r="D1362" s="3" t="str">
        <f>UPPER(TEXT('base-pms_spbrasil'!E1362,"MMMM"))</f>
        <v>SETEMBRO</v>
      </c>
    </row>
    <row r="1363" spans="1:4" x14ac:dyDescent="0.25">
      <c r="A1363" s="1">
        <v>44470</v>
      </c>
      <c r="B1363">
        <f>YEAR('base-pms_spbrasil'!E1363)</f>
        <v>2021</v>
      </c>
      <c r="C1363">
        <f>MONTH('base-pms_spbrasil'!E1363)</f>
        <v>10</v>
      </c>
      <c r="D1363" s="3" t="str">
        <f>UPPER(TEXT('base-pms_spbrasil'!E1363,"MMMM"))</f>
        <v>OUTUBRO</v>
      </c>
    </row>
    <row r="1364" spans="1:4" x14ac:dyDescent="0.25">
      <c r="A1364" s="1">
        <v>44501</v>
      </c>
      <c r="B1364">
        <f>YEAR('base-pms_spbrasil'!E1364)</f>
        <v>2021</v>
      </c>
      <c r="C1364">
        <f>MONTH('base-pms_spbrasil'!E1364)</f>
        <v>11</v>
      </c>
      <c r="D1364" s="3" t="str">
        <f>UPPER(TEXT('base-pms_spbrasil'!E1364,"MMMM"))</f>
        <v>NOVEMBRO</v>
      </c>
    </row>
    <row r="1365" spans="1:4" x14ac:dyDescent="0.25">
      <c r="A1365" s="1">
        <v>44531</v>
      </c>
      <c r="B1365">
        <f>YEAR('base-pms_spbrasil'!E1365)</f>
        <v>2021</v>
      </c>
      <c r="C1365">
        <f>MONTH('base-pms_spbrasil'!E1365)</f>
        <v>12</v>
      </c>
      <c r="D1365" s="3" t="str">
        <f>UPPER(TEXT('base-pms_spbrasil'!E1365,"MMMM"))</f>
        <v>DEZEMBRO</v>
      </c>
    </row>
    <row r="1366" spans="1:4" x14ac:dyDescent="0.25">
      <c r="A1366" s="1">
        <v>44562</v>
      </c>
      <c r="B1366">
        <f>YEAR('base-pms_spbrasil'!E1366)</f>
        <v>2022</v>
      </c>
      <c r="C1366">
        <f>MONTH('base-pms_spbrasil'!E1366)</f>
        <v>1</v>
      </c>
      <c r="D1366" s="3" t="str">
        <f>UPPER(TEXT('base-pms_spbrasil'!E1366,"MMMM"))</f>
        <v>JANEIRO</v>
      </c>
    </row>
    <row r="1367" spans="1:4" x14ac:dyDescent="0.25">
      <c r="A1367" s="1">
        <v>44593</v>
      </c>
      <c r="B1367">
        <f>YEAR('base-pms_spbrasil'!E1367)</f>
        <v>2022</v>
      </c>
      <c r="C1367">
        <f>MONTH('base-pms_spbrasil'!E1367)</f>
        <v>2</v>
      </c>
      <c r="D1367" s="3" t="str">
        <f>UPPER(TEXT('base-pms_spbrasil'!E1367,"MMMM"))</f>
        <v>FEVEREIRO</v>
      </c>
    </row>
    <row r="1368" spans="1:4" x14ac:dyDescent="0.25">
      <c r="A1368" s="1">
        <v>44621</v>
      </c>
      <c r="B1368">
        <f>YEAR('base-pms_spbrasil'!E1368)</f>
        <v>2022</v>
      </c>
      <c r="C1368">
        <f>MONTH('base-pms_spbrasil'!E1368)</f>
        <v>3</v>
      </c>
      <c r="D1368" s="3" t="str">
        <f>UPPER(TEXT('base-pms_spbrasil'!E1368,"MMMM"))</f>
        <v>MARÇO</v>
      </c>
    </row>
    <row r="1369" spans="1:4" x14ac:dyDescent="0.25">
      <c r="A1369" s="1">
        <v>44652</v>
      </c>
      <c r="B1369">
        <f>YEAR('base-pms_spbrasil'!E1369)</f>
        <v>2022</v>
      </c>
      <c r="C1369">
        <f>MONTH('base-pms_spbrasil'!E1369)</f>
        <v>4</v>
      </c>
      <c r="D1369" s="3" t="str">
        <f>UPPER(TEXT('base-pms_spbrasil'!E1369,"MMMM"))</f>
        <v>ABRIL</v>
      </c>
    </row>
    <row r="1370" spans="1:4" x14ac:dyDescent="0.25">
      <c r="A1370" s="1">
        <v>44682</v>
      </c>
      <c r="B1370">
        <f>YEAR('base-pms_spbrasil'!E1370)</f>
        <v>2022</v>
      </c>
      <c r="C1370">
        <f>MONTH('base-pms_spbrasil'!E1370)</f>
        <v>5</v>
      </c>
      <c r="D1370" s="3" t="str">
        <f>UPPER(TEXT('base-pms_spbrasil'!E1370,"MMMM"))</f>
        <v>MAIO</v>
      </c>
    </row>
    <row r="1371" spans="1:4" x14ac:dyDescent="0.25">
      <c r="A1371" s="1">
        <v>44713</v>
      </c>
      <c r="B1371">
        <f>YEAR('base-pms_spbrasil'!E1371)</f>
        <v>2022</v>
      </c>
      <c r="C1371">
        <f>MONTH('base-pms_spbrasil'!E1371)</f>
        <v>6</v>
      </c>
      <c r="D1371" s="3" t="str">
        <f>UPPER(TEXT('base-pms_spbrasil'!E1371,"MMMM"))</f>
        <v>JUNHO</v>
      </c>
    </row>
    <row r="1372" spans="1:4" x14ac:dyDescent="0.25">
      <c r="A1372" s="1">
        <v>44743</v>
      </c>
      <c r="B1372">
        <f>YEAR('base-pms_spbrasil'!E1372)</f>
        <v>2022</v>
      </c>
      <c r="C1372">
        <f>MONTH('base-pms_spbrasil'!E1372)</f>
        <v>7</v>
      </c>
      <c r="D1372" s="3" t="str">
        <f>UPPER(TEXT('base-pms_spbrasil'!E1372,"MMMM"))</f>
        <v>JULHO</v>
      </c>
    </row>
    <row r="1373" spans="1:4" x14ac:dyDescent="0.25">
      <c r="A1373" s="1">
        <v>44774</v>
      </c>
      <c r="B1373">
        <f>YEAR('base-pms_spbrasil'!E1373)</f>
        <v>2022</v>
      </c>
      <c r="C1373">
        <f>MONTH('base-pms_spbrasil'!E1373)</f>
        <v>8</v>
      </c>
      <c r="D1373" s="3" t="str">
        <f>UPPER(TEXT('base-pms_spbrasil'!E1373,"MMMM"))</f>
        <v>AGOSTO</v>
      </c>
    </row>
    <row r="1374" spans="1:4" x14ac:dyDescent="0.25">
      <c r="A1374" s="1">
        <v>44805</v>
      </c>
      <c r="B1374">
        <f>YEAR('base-pms_spbrasil'!E1374)</f>
        <v>2022</v>
      </c>
      <c r="C1374">
        <f>MONTH('base-pms_spbrasil'!E1374)</f>
        <v>9</v>
      </c>
      <c r="D1374" s="3" t="str">
        <f>UPPER(TEXT('base-pms_spbrasil'!E1374,"MMMM"))</f>
        <v>SETEMBRO</v>
      </c>
    </row>
    <row r="1375" spans="1:4" x14ac:dyDescent="0.25">
      <c r="A1375" s="1">
        <v>44835</v>
      </c>
      <c r="B1375">
        <f>YEAR('base-pms_spbrasil'!E1375)</f>
        <v>2022</v>
      </c>
      <c r="C1375">
        <f>MONTH('base-pms_spbrasil'!E1375)</f>
        <v>10</v>
      </c>
      <c r="D1375" s="3" t="str">
        <f>UPPER(TEXT('base-pms_spbrasil'!E1375,"MMMM"))</f>
        <v>OUTUBRO</v>
      </c>
    </row>
    <row r="1376" spans="1:4" x14ac:dyDescent="0.25">
      <c r="A1376" s="1">
        <v>44866</v>
      </c>
      <c r="B1376">
        <f>YEAR('base-pms_spbrasil'!E1376)</f>
        <v>2022</v>
      </c>
      <c r="C1376">
        <f>MONTH('base-pms_spbrasil'!E1376)</f>
        <v>11</v>
      </c>
      <c r="D1376" s="3" t="str">
        <f>UPPER(TEXT('base-pms_spbrasil'!E1376,"MMMM"))</f>
        <v>NOVEMBRO</v>
      </c>
    </row>
    <row r="1377" spans="1:4" x14ac:dyDescent="0.25">
      <c r="A1377" s="1">
        <v>44896</v>
      </c>
      <c r="B1377">
        <f>YEAR('base-pms_spbrasil'!E1377)</f>
        <v>2022</v>
      </c>
      <c r="C1377">
        <f>MONTH('base-pms_spbrasil'!E1377)</f>
        <v>12</v>
      </c>
      <c r="D1377" s="3" t="str">
        <f>UPPER(TEXT('base-pms_spbrasil'!E1377,"MMMM"))</f>
        <v>DEZEMBRO</v>
      </c>
    </row>
    <row r="1378" spans="1:4" x14ac:dyDescent="0.25">
      <c r="A1378" s="1">
        <v>44927</v>
      </c>
      <c r="B1378">
        <f>YEAR('base-pms_spbrasil'!E1378)</f>
        <v>2023</v>
      </c>
      <c r="C1378">
        <f>MONTH('base-pms_spbrasil'!E1378)</f>
        <v>1</v>
      </c>
      <c r="D1378" s="3" t="str">
        <f>UPPER(TEXT('base-pms_spbrasil'!E1378,"MMMM"))</f>
        <v>JANEIRO</v>
      </c>
    </row>
    <row r="1379" spans="1:4" x14ac:dyDescent="0.25">
      <c r="A1379" s="1">
        <v>44958</v>
      </c>
      <c r="B1379">
        <f>YEAR('base-pms_spbrasil'!E1379)</f>
        <v>2023</v>
      </c>
      <c r="C1379">
        <f>MONTH('base-pms_spbrasil'!E1379)</f>
        <v>2</v>
      </c>
      <c r="D1379" s="3" t="str">
        <f>UPPER(TEXT('base-pms_spbrasil'!E1379,"MMMM"))</f>
        <v>FEVEREIRO</v>
      </c>
    </row>
    <row r="1380" spans="1:4" x14ac:dyDescent="0.25">
      <c r="A1380" s="1">
        <v>44986</v>
      </c>
      <c r="B1380">
        <f>YEAR('base-pms_spbrasil'!E1380)</f>
        <v>2023</v>
      </c>
      <c r="C1380">
        <f>MONTH('base-pms_spbrasil'!E1380)</f>
        <v>3</v>
      </c>
      <c r="D1380" s="3" t="str">
        <f>UPPER(TEXT('base-pms_spbrasil'!E1380,"MMMM"))</f>
        <v>MARÇO</v>
      </c>
    </row>
    <row r="1381" spans="1:4" x14ac:dyDescent="0.25">
      <c r="A1381" s="1">
        <v>45017</v>
      </c>
      <c r="B1381">
        <f>YEAR('base-pms_spbrasil'!E1381)</f>
        <v>2023</v>
      </c>
      <c r="C1381">
        <f>MONTH('base-pms_spbrasil'!E1381)</f>
        <v>4</v>
      </c>
      <c r="D1381" s="3" t="str">
        <f>UPPER(TEXT('base-pms_spbrasil'!E1381,"MMMM"))</f>
        <v>ABRIL</v>
      </c>
    </row>
    <row r="1382" spans="1:4" x14ac:dyDescent="0.25">
      <c r="A1382" s="1">
        <v>45047</v>
      </c>
      <c r="B1382">
        <f>YEAR('base-pms_spbrasil'!E1382)</f>
        <v>2023</v>
      </c>
      <c r="C1382">
        <f>MONTH('base-pms_spbrasil'!E1382)</f>
        <v>5</v>
      </c>
      <c r="D1382" s="3" t="str">
        <f>UPPER(TEXT('base-pms_spbrasil'!E1382,"MMMM"))</f>
        <v>MAIO</v>
      </c>
    </row>
    <row r="1383" spans="1:4" x14ac:dyDescent="0.25">
      <c r="A1383" s="1">
        <v>45078</v>
      </c>
      <c r="B1383">
        <f>YEAR('base-pms_spbrasil'!E1383)</f>
        <v>2023</v>
      </c>
      <c r="C1383">
        <f>MONTH('base-pms_spbrasil'!E1383)</f>
        <v>6</v>
      </c>
      <c r="D1383" s="3" t="str">
        <f>UPPER(TEXT('base-pms_spbrasil'!E1383,"MMMM"))</f>
        <v>JUNHO</v>
      </c>
    </row>
    <row r="1384" spans="1:4" x14ac:dyDescent="0.25">
      <c r="A1384" s="1">
        <v>45108</v>
      </c>
      <c r="B1384">
        <f>YEAR('base-pms_spbrasil'!E1384)</f>
        <v>2023</v>
      </c>
      <c r="C1384">
        <f>MONTH('base-pms_spbrasil'!E1384)</f>
        <v>7</v>
      </c>
      <c r="D1384" s="3" t="str">
        <f>UPPER(TEXT('base-pms_spbrasil'!E1384,"MMMM"))</f>
        <v>JULHO</v>
      </c>
    </row>
    <row r="1385" spans="1:4" x14ac:dyDescent="0.25">
      <c r="A1385" s="1">
        <v>45139</v>
      </c>
      <c r="B1385">
        <f>YEAR('base-pms_spbrasil'!E1385)</f>
        <v>2023</v>
      </c>
      <c r="C1385">
        <f>MONTH('base-pms_spbrasil'!E1385)</f>
        <v>8</v>
      </c>
      <c r="D1385" s="3" t="str">
        <f>UPPER(TEXT('base-pms_spbrasil'!E1385,"MMMM"))</f>
        <v>AGOSTO</v>
      </c>
    </row>
    <row r="1386" spans="1:4" x14ac:dyDescent="0.25">
      <c r="A1386" s="1">
        <v>45170</v>
      </c>
      <c r="B1386">
        <f>YEAR('base-pms_spbrasil'!E1386)</f>
        <v>2023</v>
      </c>
      <c r="C1386">
        <f>MONTH('base-pms_spbrasil'!E1386)</f>
        <v>9</v>
      </c>
      <c r="D1386" s="3" t="str">
        <f>UPPER(TEXT('base-pms_spbrasil'!E1386,"MMMM"))</f>
        <v>SETEMBRO</v>
      </c>
    </row>
    <row r="1387" spans="1:4" x14ac:dyDescent="0.25">
      <c r="A1387" s="1">
        <v>45200</v>
      </c>
      <c r="B1387">
        <f>YEAR('base-pms_spbrasil'!E1387)</f>
        <v>2023</v>
      </c>
      <c r="C1387">
        <f>MONTH('base-pms_spbrasil'!E1387)</f>
        <v>10</v>
      </c>
      <c r="D1387" s="3" t="str">
        <f>UPPER(TEXT('base-pms_spbrasil'!E1387,"MMMM"))</f>
        <v>OUTUBRO</v>
      </c>
    </row>
    <row r="1388" spans="1:4" x14ac:dyDescent="0.25">
      <c r="A1388" s="1">
        <v>45231</v>
      </c>
      <c r="B1388">
        <f>YEAR('base-pms_spbrasil'!E1388)</f>
        <v>2023</v>
      </c>
      <c r="C1388">
        <f>MONTH('base-pms_spbrasil'!E1388)</f>
        <v>11</v>
      </c>
      <c r="D1388" s="3" t="str">
        <f>UPPER(TEXT('base-pms_spbrasil'!E1388,"MMMM"))</f>
        <v>NOVEMBRO</v>
      </c>
    </row>
    <row r="1389" spans="1:4" x14ac:dyDescent="0.25">
      <c r="A1389" s="1">
        <v>45261</v>
      </c>
      <c r="B1389">
        <f>YEAR('base-pms_spbrasil'!E1389)</f>
        <v>2023</v>
      </c>
      <c r="C1389">
        <f>MONTH('base-pms_spbrasil'!E1389)</f>
        <v>12</v>
      </c>
      <c r="D1389" s="3" t="str">
        <f>UPPER(TEXT('base-pms_spbrasil'!E1389,"MMMM"))</f>
        <v>DEZEMBRO</v>
      </c>
    </row>
    <row r="1390" spans="1:4" x14ac:dyDescent="0.25">
      <c r="A1390" s="1">
        <v>45292</v>
      </c>
      <c r="B1390">
        <f>YEAR('base-pms_spbrasil'!E1390)</f>
        <v>2024</v>
      </c>
      <c r="C1390">
        <f>MONTH('base-pms_spbrasil'!E1390)</f>
        <v>1</v>
      </c>
      <c r="D1390" s="3" t="str">
        <f>UPPER(TEXT('base-pms_spbrasil'!E1390,"MMMM"))</f>
        <v>JANEIRO</v>
      </c>
    </row>
    <row r="1391" spans="1:4" x14ac:dyDescent="0.25">
      <c r="A1391" s="1">
        <v>45323</v>
      </c>
      <c r="B1391">
        <f>YEAR('base-pms_spbrasil'!E1391)</f>
        <v>2024</v>
      </c>
      <c r="C1391">
        <f>MONTH('base-pms_spbrasil'!E1391)</f>
        <v>2</v>
      </c>
      <c r="D1391" s="3" t="str">
        <f>UPPER(TEXT('base-pms_spbrasil'!E1391,"MMMM"))</f>
        <v>FEVEREIRO</v>
      </c>
    </row>
    <row r="1392" spans="1:4" x14ac:dyDescent="0.25">
      <c r="A1392" s="1">
        <v>45352</v>
      </c>
      <c r="B1392">
        <f>YEAR('base-pms_spbrasil'!E1392)</f>
        <v>2024</v>
      </c>
      <c r="C1392">
        <f>MONTH('base-pms_spbrasil'!E1392)</f>
        <v>3</v>
      </c>
      <c r="D1392" s="3" t="str">
        <f>UPPER(TEXT('base-pms_spbrasil'!E1392,"MMMM"))</f>
        <v>MARÇO</v>
      </c>
    </row>
    <row r="1393" spans="1:4" x14ac:dyDescent="0.25">
      <c r="A1393" s="1">
        <v>45383</v>
      </c>
      <c r="B1393">
        <f>YEAR('base-pms_spbrasil'!E1393)</f>
        <v>2024</v>
      </c>
      <c r="C1393">
        <f>MONTH('base-pms_spbrasil'!E1393)</f>
        <v>4</v>
      </c>
      <c r="D1393" s="3" t="str">
        <f>UPPER(TEXT('base-pms_spbrasil'!E1393,"MMMM"))</f>
        <v>ABRIL</v>
      </c>
    </row>
    <row r="1394" spans="1:4" x14ac:dyDescent="0.25">
      <c r="A1394" s="1">
        <v>45413</v>
      </c>
      <c r="B1394">
        <f>YEAR('base-pms_spbrasil'!E1394)</f>
        <v>2024</v>
      </c>
      <c r="C1394">
        <f>MONTH('base-pms_spbrasil'!E1394)</f>
        <v>5</v>
      </c>
      <c r="D1394" s="3" t="str">
        <f>UPPER(TEXT('base-pms_spbrasil'!E1394,"MMMM"))</f>
        <v>MAIO</v>
      </c>
    </row>
    <row r="1395" spans="1:4" x14ac:dyDescent="0.25">
      <c r="A1395" s="1">
        <v>45444</v>
      </c>
      <c r="B1395">
        <f>YEAR('base-pms_spbrasil'!E1395)</f>
        <v>2024</v>
      </c>
      <c r="C1395">
        <f>MONTH('base-pms_spbrasil'!E1395)</f>
        <v>6</v>
      </c>
      <c r="D1395" s="3" t="str">
        <f>UPPER(TEXT('base-pms_spbrasil'!E1395,"MMMM"))</f>
        <v>JUNHO</v>
      </c>
    </row>
    <row r="1396" spans="1:4" x14ac:dyDescent="0.25">
      <c r="A1396" s="1">
        <v>45474</v>
      </c>
      <c r="B1396">
        <f>YEAR('base-pms_spbrasil'!E1396)</f>
        <v>2024</v>
      </c>
      <c r="C1396">
        <f>MONTH('base-pms_spbrasil'!E1396)</f>
        <v>7</v>
      </c>
      <c r="D1396" s="3" t="str">
        <f>UPPER(TEXT('base-pms_spbrasil'!E1396,"MMMM"))</f>
        <v>JULHO</v>
      </c>
    </row>
    <row r="1397" spans="1:4" x14ac:dyDescent="0.25">
      <c r="A1397" s="1">
        <v>45505</v>
      </c>
      <c r="B1397">
        <f>YEAR('base-pms_spbrasil'!E1397)</f>
        <v>2024</v>
      </c>
      <c r="C1397">
        <f>MONTH('base-pms_spbrasil'!E1397)</f>
        <v>8</v>
      </c>
      <c r="D1397" s="3" t="str">
        <f>UPPER(TEXT('base-pms_spbrasil'!E1397,"MMMM"))</f>
        <v>AGOSTO</v>
      </c>
    </row>
    <row r="1398" spans="1:4" x14ac:dyDescent="0.25">
      <c r="A1398" s="1">
        <v>45536</v>
      </c>
      <c r="B1398">
        <f>YEAR('base-pms_spbrasil'!E1398)</f>
        <v>2024</v>
      </c>
      <c r="C1398">
        <f>MONTH('base-pms_spbrasil'!E1398)</f>
        <v>9</v>
      </c>
      <c r="D1398" s="3" t="str">
        <f>UPPER(TEXT('base-pms_spbrasil'!E1398,"MMMM"))</f>
        <v>SETEMBRO</v>
      </c>
    </row>
    <row r="1399" spans="1:4" x14ac:dyDescent="0.25">
      <c r="A1399" s="1">
        <v>45566</v>
      </c>
      <c r="B1399">
        <f>YEAR('base-pms_spbrasil'!E1399)</f>
        <v>2024</v>
      </c>
      <c r="C1399">
        <f>MONTH('base-pms_spbrasil'!E1399)</f>
        <v>10</v>
      </c>
      <c r="D1399" s="3" t="str">
        <f>UPPER(TEXT('base-pms_spbrasil'!E1399,"MMMM"))</f>
        <v>OUTUBRO</v>
      </c>
    </row>
    <row r="1400" spans="1:4" x14ac:dyDescent="0.25">
      <c r="A1400" s="1">
        <v>45597</v>
      </c>
      <c r="B1400">
        <f>YEAR('base-pms_spbrasil'!E1400)</f>
        <v>2024</v>
      </c>
      <c r="C1400">
        <f>MONTH('base-pms_spbrasil'!E1400)</f>
        <v>11</v>
      </c>
      <c r="D1400" s="3" t="str">
        <f>UPPER(TEXT('base-pms_spbrasil'!E1400,"MMMM"))</f>
        <v>NOVEMBRO</v>
      </c>
    </row>
    <row r="1401" spans="1:4" x14ac:dyDescent="0.25">
      <c r="A1401" s="1">
        <v>45627</v>
      </c>
      <c r="B1401">
        <f>YEAR('base-pms_spbrasil'!E1401)</f>
        <v>2024</v>
      </c>
      <c r="C1401">
        <f>MONTH('base-pms_spbrasil'!E1401)</f>
        <v>12</v>
      </c>
      <c r="D1401" s="3" t="str">
        <f>UPPER(TEXT('base-pms_spbrasil'!E1401,"MMMM"))</f>
        <v>DEZEMBRO</v>
      </c>
    </row>
    <row r="1402" spans="1:4" x14ac:dyDescent="0.25">
      <c r="A1402" s="1">
        <v>45658</v>
      </c>
      <c r="B1402">
        <f>YEAR('base-pms_spbrasil'!E1402)</f>
        <v>2025</v>
      </c>
      <c r="C1402">
        <f>MONTH('base-pms_spbrasil'!E1402)</f>
        <v>1</v>
      </c>
      <c r="D1402" s="3" t="str">
        <f>UPPER(TEXT('base-pms_spbrasil'!E1402,"MMMM"))</f>
        <v>JANEIRO</v>
      </c>
    </row>
    <row r="1403" spans="1:4" x14ac:dyDescent="0.25">
      <c r="A1403" s="1">
        <v>45689</v>
      </c>
      <c r="B1403">
        <f>YEAR('base-pms_spbrasil'!E1403)</f>
        <v>2025</v>
      </c>
      <c r="C1403">
        <f>MONTH('base-pms_spbrasil'!E1403)</f>
        <v>2</v>
      </c>
      <c r="D1403" s="3" t="str">
        <f>UPPER(TEXT('base-pms_spbrasil'!E1403,"MMMM"))</f>
        <v>FEVEREIRO</v>
      </c>
    </row>
    <row r="1404" spans="1:4" x14ac:dyDescent="0.25">
      <c r="A1404" s="1">
        <v>45717</v>
      </c>
      <c r="B1404">
        <f>YEAR('base-pms_spbrasil'!E1404)</f>
        <v>2025</v>
      </c>
      <c r="C1404">
        <f>MONTH('base-pms_spbrasil'!E1404)</f>
        <v>3</v>
      </c>
      <c r="D1404" s="3" t="str">
        <f>UPPER(TEXT('base-pms_spbrasil'!E1404,"MMMM"))</f>
        <v>MARÇO</v>
      </c>
    </row>
    <row r="1405" spans="1:4" x14ac:dyDescent="0.25">
      <c r="A1405" s="1">
        <v>45748</v>
      </c>
      <c r="B1405">
        <f>YEAR('base-pms_spbrasil'!E1405)</f>
        <v>2025</v>
      </c>
      <c r="C1405">
        <f>MONTH('base-pms_spbrasil'!E1405)</f>
        <v>4</v>
      </c>
      <c r="D1405" s="3" t="str">
        <f>UPPER(TEXT('base-pms_spbrasil'!E1405,"MMMM"))</f>
        <v>ABRIL</v>
      </c>
    </row>
    <row r="1406" spans="1:4" x14ac:dyDescent="0.25">
      <c r="A1406" s="1">
        <v>45778</v>
      </c>
      <c r="B1406">
        <f>YEAR('base-pms_spbrasil'!E1406)</f>
        <v>2025</v>
      </c>
      <c r="C1406">
        <f>MONTH('base-pms_spbrasil'!E1406)</f>
        <v>5</v>
      </c>
      <c r="D1406" s="3" t="str">
        <f>UPPER(TEXT('base-pms_spbrasil'!E1406,"MMMM"))</f>
        <v>MAIO</v>
      </c>
    </row>
    <row r="1407" spans="1:4" x14ac:dyDescent="0.25">
      <c r="A1407" s="1">
        <v>45809</v>
      </c>
      <c r="B1407">
        <f>YEAR('base-pms_spbrasil'!E1407)</f>
        <v>2025</v>
      </c>
      <c r="C1407">
        <f>MONTH('base-pms_spbrasil'!E1407)</f>
        <v>6</v>
      </c>
      <c r="D1407" s="3" t="str">
        <f>UPPER(TEXT('base-pms_spbrasil'!E1407,"MMMM"))</f>
        <v>JUNHO</v>
      </c>
    </row>
    <row r="1408" spans="1:4" x14ac:dyDescent="0.25">
      <c r="A1408" s="1">
        <v>45839</v>
      </c>
      <c r="B1408">
        <f>YEAR('base-pms_spbrasil'!E1408)</f>
        <v>2025</v>
      </c>
      <c r="C1408">
        <f>MONTH('base-pms_spbrasil'!E1408)</f>
        <v>7</v>
      </c>
      <c r="D1408" s="3" t="str">
        <f>UPPER(TEXT('base-pms_spbrasil'!E1408,"MMMM"))</f>
        <v>JULHO</v>
      </c>
    </row>
    <row r="1409" spans="1:4" x14ac:dyDescent="0.25">
      <c r="A1409" s="1">
        <v>45870</v>
      </c>
      <c r="B1409">
        <f>YEAR('base-pms_spbrasil'!E1409)</f>
        <v>2025</v>
      </c>
      <c r="C1409">
        <f>MONTH('base-pms_spbrasil'!E1409)</f>
        <v>8</v>
      </c>
      <c r="D1409" s="3" t="str">
        <f>UPPER(TEXT('base-pms_spbrasil'!E1409,"MMMM"))</f>
        <v>AGOSTO</v>
      </c>
    </row>
    <row r="1410" spans="1:4" x14ac:dyDescent="0.25">
      <c r="A1410" s="1">
        <v>40544</v>
      </c>
      <c r="B1410">
        <f>YEAR('base-pms_spbrasil'!E1410)</f>
        <v>2011</v>
      </c>
      <c r="C1410">
        <f>MONTH('base-pms_spbrasil'!E1410)</f>
        <v>1</v>
      </c>
      <c r="D1410" s="3" t="str">
        <f>UPPER(TEXT('base-pms_spbrasil'!E1410,"MMMM"))</f>
        <v>JANEIRO</v>
      </c>
    </row>
    <row r="1411" spans="1:4" x14ac:dyDescent="0.25">
      <c r="A1411" s="1">
        <v>40575</v>
      </c>
      <c r="B1411">
        <f>YEAR('base-pms_spbrasil'!E1411)</f>
        <v>2011</v>
      </c>
      <c r="C1411">
        <f>MONTH('base-pms_spbrasil'!E1411)</f>
        <v>2</v>
      </c>
      <c r="D1411" s="3" t="str">
        <f>UPPER(TEXT('base-pms_spbrasil'!E1411,"MMMM"))</f>
        <v>FEVEREIRO</v>
      </c>
    </row>
    <row r="1412" spans="1:4" x14ac:dyDescent="0.25">
      <c r="A1412" s="1">
        <v>40603</v>
      </c>
      <c r="B1412">
        <f>YEAR('base-pms_spbrasil'!E1412)</f>
        <v>2011</v>
      </c>
      <c r="C1412">
        <f>MONTH('base-pms_spbrasil'!E1412)</f>
        <v>3</v>
      </c>
      <c r="D1412" s="3" t="str">
        <f>UPPER(TEXT('base-pms_spbrasil'!E1412,"MMMM"))</f>
        <v>MARÇO</v>
      </c>
    </row>
    <row r="1413" spans="1:4" x14ac:dyDescent="0.25">
      <c r="A1413" s="1">
        <v>40634</v>
      </c>
      <c r="B1413">
        <f>YEAR('base-pms_spbrasil'!E1413)</f>
        <v>2011</v>
      </c>
      <c r="C1413">
        <f>MONTH('base-pms_spbrasil'!E1413)</f>
        <v>4</v>
      </c>
      <c r="D1413" s="3" t="str">
        <f>UPPER(TEXT('base-pms_spbrasil'!E1413,"MMMM"))</f>
        <v>ABRIL</v>
      </c>
    </row>
    <row r="1414" spans="1:4" x14ac:dyDescent="0.25">
      <c r="A1414" s="1">
        <v>40664</v>
      </c>
      <c r="B1414">
        <f>YEAR('base-pms_spbrasil'!E1414)</f>
        <v>2011</v>
      </c>
      <c r="C1414">
        <f>MONTH('base-pms_spbrasil'!E1414)</f>
        <v>5</v>
      </c>
      <c r="D1414" s="3" t="str">
        <f>UPPER(TEXT('base-pms_spbrasil'!E1414,"MMMM"))</f>
        <v>MAIO</v>
      </c>
    </row>
    <row r="1415" spans="1:4" x14ac:dyDescent="0.25">
      <c r="A1415" s="1">
        <v>40695</v>
      </c>
      <c r="B1415">
        <f>YEAR('base-pms_spbrasil'!E1415)</f>
        <v>2011</v>
      </c>
      <c r="C1415">
        <f>MONTH('base-pms_spbrasil'!E1415)</f>
        <v>6</v>
      </c>
      <c r="D1415" s="3" t="str">
        <f>UPPER(TEXT('base-pms_spbrasil'!E1415,"MMMM"))</f>
        <v>JUNHO</v>
      </c>
    </row>
    <row r="1416" spans="1:4" x14ac:dyDescent="0.25">
      <c r="A1416" s="1">
        <v>40725</v>
      </c>
      <c r="B1416">
        <f>YEAR('base-pms_spbrasil'!E1416)</f>
        <v>2011</v>
      </c>
      <c r="C1416">
        <f>MONTH('base-pms_spbrasil'!E1416)</f>
        <v>7</v>
      </c>
      <c r="D1416" s="3" t="str">
        <f>UPPER(TEXT('base-pms_spbrasil'!E1416,"MMMM"))</f>
        <v>JULHO</v>
      </c>
    </row>
    <row r="1417" spans="1:4" x14ac:dyDescent="0.25">
      <c r="A1417" s="1">
        <v>40756</v>
      </c>
      <c r="B1417">
        <f>YEAR('base-pms_spbrasil'!E1417)</f>
        <v>2011</v>
      </c>
      <c r="C1417">
        <f>MONTH('base-pms_spbrasil'!E1417)</f>
        <v>8</v>
      </c>
      <c r="D1417" s="3" t="str">
        <f>UPPER(TEXT('base-pms_spbrasil'!E1417,"MMMM"))</f>
        <v>AGOSTO</v>
      </c>
    </row>
    <row r="1418" spans="1:4" x14ac:dyDescent="0.25">
      <c r="A1418" s="1">
        <v>40787</v>
      </c>
      <c r="B1418">
        <f>YEAR('base-pms_spbrasil'!E1418)</f>
        <v>2011</v>
      </c>
      <c r="C1418">
        <f>MONTH('base-pms_spbrasil'!E1418)</f>
        <v>9</v>
      </c>
      <c r="D1418" s="3" t="str">
        <f>UPPER(TEXT('base-pms_spbrasil'!E1418,"MMMM"))</f>
        <v>SETEMBRO</v>
      </c>
    </row>
    <row r="1419" spans="1:4" x14ac:dyDescent="0.25">
      <c r="A1419" s="1">
        <v>40817</v>
      </c>
      <c r="B1419">
        <f>YEAR('base-pms_spbrasil'!E1419)</f>
        <v>2011</v>
      </c>
      <c r="C1419">
        <f>MONTH('base-pms_spbrasil'!E1419)</f>
        <v>10</v>
      </c>
      <c r="D1419" s="3" t="str">
        <f>UPPER(TEXT('base-pms_spbrasil'!E1419,"MMMM"))</f>
        <v>OUTUBRO</v>
      </c>
    </row>
    <row r="1420" spans="1:4" x14ac:dyDescent="0.25">
      <c r="A1420" s="1">
        <v>40848</v>
      </c>
      <c r="B1420">
        <f>YEAR('base-pms_spbrasil'!E1420)</f>
        <v>2011</v>
      </c>
      <c r="C1420">
        <f>MONTH('base-pms_spbrasil'!E1420)</f>
        <v>11</v>
      </c>
      <c r="D1420" s="3" t="str">
        <f>UPPER(TEXT('base-pms_spbrasil'!E1420,"MMMM"))</f>
        <v>NOVEMBRO</v>
      </c>
    </row>
    <row r="1421" spans="1:4" x14ac:dyDescent="0.25">
      <c r="A1421" s="1">
        <v>40878</v>
      </c>
      <c r="B1421">
        <f>YEAR('base-pms_spbrasil'!E1421)</f>
        <v>2011</v>
      </c>
      <c r="C1421">
        <f>MONTH('base-pms_spbrasil'!E1421)</f>
        <v>12</v>
      </c>
      <c r="D1421" s="3" t="str">
        <f>UPPER(TEXT('base-pms_spbrasil'!E1421,"MMMM"))</f>
        <v>DEZEMBRO</v>
      </c>
    </row>
    <row r="1422" spans="1:4" x14ac:dyDescent="0.25">
      <c r="A1422" s="1">
        <v>40909</v>
      </c>
      <c r="B1422">
        <f>YEAR('base-pms_spbrasil'!E1422)</f>
        <v>2012</v>
      </c>
      <c r="C1422">
        <f>MONTH('base-pms_spbrasil'!E1422)</f>
        <v>1</v>
      </c>
      <c r="D1422" s="3" t="str">
        <f>UPPER(TEXT('base-pms_spbrasil'!E1422,"MMMM"))</f>
        <v>JANEIRO</v>
      </c>
    </row>
    <row r="1423" spans="1:4" x14ac:dyDescent="0.25">
      <c r="A1423" s="1">
        <v>40940</v>
      </c>
      <c r="B1423">
        <f>YEAR('base-pms_spbrasil'!E1423)</f>
        <v>2012</v>
      </c>
      <c r="C1423">
        <f>MONTH('base-pms_spbrasil'!E1423)</f>
        <v>2</v>
      </c>
      <c r="D1423" s="3" t="str">
        <f>UPPER(TEXT('base-pms_spbrasil'!E1423,"MMMM"))</f>
        <v>FEVEREIRO</v>
      </c>
    </row>
    <row r="1424" spans="1:4" x14ac:dyDescent="0.25">
      <c r="A1424" s="1">
        <v>40969</v>
      </c>
      <c r="B1424">
        <f>YEAR('base-pms_spbrasil'!E1424)</f>
        <v>2012</v>
      </c>
      <c r="C1424">
        <f>MONTH('base-pms_spbrasil'!E1424)</f>
        <v>3</v>
      </c>
      <c r="D1424" s="3" t="str">
        <f>UPPER(TEXT('base-pms_spbrasil'!E1424,"MMMM"))</f>
        <v>MARÇO</v>
      </c>
    </row>
    <row r="1425" spans="1:4" x14ac:dyDescent="0.25">
      <c r="A1425" s="1">
        <v>41000</v>
      </c>
      <c r="B1425">
        <f>YEAR('base-pms_spbrasil'!E1425)</f>
        <v>2012</v>
      </c>
      <c r="C1425">
        <f>MONTH('base-pms_spbrasil'!E1425)</f>
        <v>4</v>
      </c>
      <c r="D1425" s="3" t="str">
        <f>UPPER(TEXT('base-pms_spbrasil'!E1425,"MMMM"))</f>
        <v>ABRIL</v>
      </c>
    </row>
    <row r="1426" spans="1:4" x14ac:dyDescent="0.25">
      <c r="A1426" s="1">
        <v>41030</v>
      </c>
      <c r="B1426">
        <f>YEAR('base-pms_spbrasil'!E1426)</f>
        <v>2012</v>
      </c>
      <c r="C1426">
        <f>MONTH('base-pms_spbrasil'!E1426)</f>
        <v>5</v>
      </c>
      <c r="D1426" s="3" t="str">
        <f>UPPER(TEXT('base-pms_spbrasil'!E1426,"MMMM"))</f>
        <v>MAIO</v>
      </c>
    </row>
    <row r="1427" spans="1:4" x14ac:dyDescent="0.25">
      <c r="A1427" s="1">
        <v>41061</v>
      </c>
      <c r="B1427">
        <f>YEAR('base-pms_spbrasil'!E1427)</f>
        <v>2012</v>
      </c>
      <c r="C1427">
        <f>MONTH('base-pms_spbrasil'!E1427)</f>
        <v>6</v>
      </c>
      <c r="D1427" s="3" t="str">
        <f>UPPER(TEXT('base-pms_spbrasil'!E1427,"MMMM"))</f>
        <v>JUNHO</v>
      </c>
    </row>
    <row r="1428" spans="1:4" x14ac:dyDescent="0.25">
      <c r="A1428" s="1">
        <v>41091</v>
      </c>
      <c r="B1428">
        <f>YEAR('base-pms_spbrasil'!E1428)</f>
        <v>2012</v>
      </c>
      <c r="C1428">
        <f>MONTH('base-pms_spbrasil'!E1428)</f>
        <v>7</v>
      </c>
      <c r="D1428" s="3" t="str">
        <f>UPPER(TEXT('base-pms_spbrasil'!E1428,"MMMM"))</f>
        <v>JULHO</v>
      </c>
    </row>
    <row r="1429" spans="1:4" x14ac:dyDescent="0.25">
      <c r="A1429" s="1">
        <v>41122</v>
      </c>
      <c r="B1429">
        <f>YEAR('base-pms_spbrasil'!E1429)</f>
        <v>2012</v>
      </c>
      <c r="C1429">
        <f>MONTH('base-pms_spbrasil'!E1429)</f>
        <v>8</v>
      </c>
      <c r="D1429" s="3" t="str">
        <f>UPPER(TEXT('base-pms_spbrasil'!E1429,"MMMM"))</f>
        <v>AGOSTO</v>
      </c>
    </row>
    <row r="1430" spans="1:4" x14ac:dyDescent="0.25">
      <c r="A1430" s="1">
        <v>41153</v>
      </c>
      <c r="B1430">
        <f>YEAR('base-pms_spbrasil'!E1430)</f>
        <v>2012</v>
      </c>
      <c r="C1430">
        <f>MONTH('base-pms_spbrasil'!E1430)</f>
        <v>9</v>
      </c>
      <c r="D1430" s="3" t="str">
        <f>UPPER(TEXT('base-pms_spbrasil'!E1430,"MMMM"))</f>
        <v>SETEMBRO</v>
      </c>
    </row>
    <row r="1431" spans="1:4" x14ac:dyDescent="0.25">
      <c r="A1431" s="1">
        <v>41183</v>
      </c>
      <c r="B1431">
        <f>YEAR('base-pms_spbrasil'!E1431)</f>
        <v>2012</v>
      </c>
      <c r="C1431">
        <f>MONTH('base-pms_spbrasil'!E1431)</f>
        <v>10</v>
      </c>
      <c r="D1431" s="3" t="str">
        <f>UPPER(TEXT('base-pms_spbrasil'!E1431,"MMMM"))</f>
        <v>OUTUBRO</v>
      </c>
    </row>
    <row r="1432" spans="1:4" x14ac:dyDescent="0.25">
      <c r="A1432" s="1">
        <v>41214</v>
      </c>
      <c r="B1432">
        <f>YEAR('base-pms_spbrasil'!E1432)</f>
        <v>2012</v>
      </c>
      <c r="C1432">
        <f>MONTH('base-pms_spbrasil'!E1432)</f>
        <v>11</v>
      </c>
      <c r="D1432" s="3" t="str">
        <f>UPPER(TEXT('base-pms_spbrasil'!E1432,"MMMM"))</f>
        <v>NOVEMBRO</v>
      </c>
    </row>
    <row r="1433" spans="1:4" x14ac:dyDescent="0.25">
      <c r="A1433" s="1">
        <v>41244</v>
      </c>
      <c r="B1433">
        <f>YEAR('base-pms_spbrasil'!E1433)</f>
        <v>2012</v>
      </c>
      <c r="C1433">
        <f>MONTH('base-pms_spbrasil'!E1433)</f>
        <v>12</v>
      </c>
      <c r="D1433" s="3" t="str">
        <f>UPPER(TEXT('base-pms_spbrasil'!E1433,"MMMM"))</f>
        <v>DEZEMBRO</v>
      </c>
    </row>
    <row r="1434" spans="1:4" x14ac:dyDescent="0.25">
      <c r="A1434" s="1">
        <v>41275</v>
      </c>
      <c r="B1434">
        <f>YEAR('base-pms_spbrasil'!E1434)</f>
        <v>2013</v>
      </c>
      <c r="C1434">
        <f>MONTH('base-pms_spbrasil'!E1434)</f>
        <v>1</v>
      </c>
      <c r="D1434" s="3" t="str">
        <f>UPPER(TEXT('base-pms_spbrasil'!E1434,"MMMM"))</f>
        <v>JANEIRO</v>
      </c>
    </row>
    <row r="1435" spans="1:4" x14ac:dyDescent="0.25">
      <c r="A1435" s="1">
        <v>41306</v>
      </c>
      <c r="B1435">
        <f>YEAR('base-pms_spbrasil'!E1435)</f>
        <v>2013</v>
      </c>
      <c r="C1435">
        <f>MONTH('base-pms_spbrasil'!E1435)</f>
        <v>2</v>
      </c>
      <c r="D1435" s="3" t="str">
        <f>UPPER(TEXT('base-pms_spbrasil'!E1435,"MMMM"))</f>
        <v>FEVEREIRO</v>
      </c>
    </row>
    <row r="1436" spans="1:4" x14ac:dyDescent="0.25">
      <c r="A1436" s="1">
        <v>41334</v>
      </c>
      <c r="B1436">
        <f>YEAR('base-pms_spbrasil'!E1436)</f>
        <v>2013</v>
      </c>
      <c r="C1436">
        <f>MONTH('base-pms_spbrasil'!E1436)</f>
        <v>3</v>
      </c>
      <c r="D1436" s="3" t="str">
        <f>UPPER(TEXT('base-pms_spbrasil'!E1436,"MMMM"))</f>
        <v>MARÇO</v>
      </c>
    </row>
    <row r="1437" spans="1:4" x14ac:dyDescent="0.25">
      <c r="A1437" s="1">
        <v>41365</v>
      </c>
      <c r="B1437">
        <f>YEAR('base-pms_spbrasil'!E1437)</f>
        <v>2013</v>
      </c>
      <c r="C1437">
        <f>MONTH('base-pms_spbrasil'!E1437)</f>
        <v>4</v>
      </c>
      <c r="D1437" s="3" t="str">
        <f>UPPER(TEXT('base-pms_spbrasil'!E1437,"MMMM"))</f>
        <v>ABRIL</v>
      </c>
    </row>
    <row r="1438" spans="1:4" x14ac:dyDescent="0.25">
      <c r="A1438" s="1">
        <v>41395</v>
      </c>
      <c r="B1438">
        <f>YEAR('base-pms_spbrasil'!E1438)</f>
        <v>2013</v>
      </c>
      <c r="C1438">
        <f>MONTH('base-pms_spbrasil'!E1438)</f>
        <v>5</v>
      </c>
      <c r="D1438" s="3" t="str">
        <f>UPPER(TEXT('base-pms_spbrasil'!E1438,"MMMM"))</f>
        <v>MAIO</v>
      </c>
    </row>
    <row r="1439" spans="1:4" x14ac:dyDescent="0.25">
      <c r="A1439" s="1">
        <v>41426</v>
      </c>
      <c r="B1439">
        <f>YEAR('base-pms_spbrasil'!E1439)</f>
        <v>2013</v>
      </c>
      <c r="C1439">
        <f>MONTH('base-pms_spbrasil'!E1439)</f>
        <v>6</v>
      </c>
      <c r="D1439" s="3" t="str">
        <f>UPPER(TEXT('base-pms_spbrasil'!E1439,"MMMM"))</f>
        <v>JUNHO</v>
      </c>
    </row>
    <row r="1440" spans="1:4" x14ac:dyDescent="0.25">
      <c r="A1440" s="1">
        <v>41456</v>
      </c>
      <c r="B1440">
        <f>YEAR('base-pms_spbrasil'!E1440)</f>
        <v>2013</v>
      </c>
      <c r="C1440">
        <f>MONTH('base-pms_spbrasil'!E1440)</f>
        <v>7</v>
      </c>
      <c r="D1440" s="3" t="str">
        <f>UPPER(TEXT('base-pms_spbrasil'!E1440,"MMMM"))</f>
        <v>JULHO</v>
      </c>
    </row>
    <row r="1441" spans="1:4" x14ac:dyDescent="0.25">
      <c r="A1441" s="1">
        <v>41487</v>
      </c>
      <c r="B1441">
        <f>YEAR('base-pms_spbrasil'!E1441)</f>
        <v>2013</v>
      </c>
      <c r="C1441">
        <f>MONTH('base-pms_spbrasil'!E1441)</f>
        <v>8</v>
      </c>
      <c r="D1441" s="3" t="str">
        <f>UPPER(TEXT('base-pms_spbrasil'!E1441,"MMMM"))</f>
        <v>AGOSTO</v>
      </c>
    </row>
    <row r="1442" spans="1:4" x14ac:dyDescent="0.25">
      <c r="A1442" s="1">
        <v>41518</v>
      </c>
      <c r="B1442">
        <f>YEAR('base-pms_spbrasil'!E1442)</f>
        <v>2013</v>
      </c>
      <c r="C1442">
        <f>MONTH('base-pms_spbrasil'!E1442)</f>
        <v>9</v>
      </c>
      <c r="D1442" s="3" t="str">
        <f>UPPER(TEXT('base-pms_spbrasil'!E1442,"MMMM"))</f>
        <v>SETEMBRO</v>
      </c>
    </row>
    <row r="1443" spans="1:4" x14ac:dyDescent="0.25">
      <c r="A1443" s="1">
        <v>41548</v>
      </c>
      <c r="B1443">
        <f>YEAR('base-pms_spbrasil'!E1443)</f>
        <v>2013</v>
      </c>
      <c r="C1443">
        <f>MONTH('base-pms_spbrasil'!E1443)</f>
        <v>10</v>
      </c>
      <c r="D1443" s="3" t="str">
        <f>UPPER(TEXT('base-pms_spbrasil'!E1443,"MMMM"))</f>
        <v>OUTUBRO</v>
      </c>
    </row>
    <row r="1444" spans="1:4" x14ac:dyDescent="0.25">
      <c r="A1444" s="1">
        <v>41579</v>
      </c>
      <c r="B1444">
        <f>YEAR('base-pms_spbrasil'!E1444)</f>
        <v>2013</v>
      </c>
      <c r="C1444">
        <f>MONTH('base-pms_spbrasil'!E1444)</f>
        <v>11</v>
      </c>
      <c r="D1444" s="3" t="str">
        <f>UPPER(TEXT('base-pms_spbrasil'!E1444,"MMMM"))</f>
        <v>NOVEMBRO</v>
      </c>
    </row>
    <row r="1445" spans="1:4" x14ac:dyDescent="0.25">
      <c r="A1445" s="1">
        <v>41609</v>
      </c>
      <c r="B1445">
        <f>YEAR('base-pms_spbrasil'!E1445)</f>
        <v>2013</v>
      </c>
      <c r="C1445">
        <f>MONTH('base-pms_spbrasil'!E1445)</f>
        <v>12</v>
      </c>
      <c r="D1445" s="3" t="str">
        <f>UPPER(TEXT('base-pms_spbrasil'!E1445,"MMMM"))</f>
        <v>DEZEMBRO</v>
      </c>
    </row>
    <row r="1446" spans="1:4" x14ac:dyDescent="0.25">
      <c r="A1446" s="1">
        <v>41640</v>
      </c>
      <c r="B1446">
        <f>YEAR('base-pms_spbrasil'!E1446)</f>
        <v>2014</v>
      </c>
      <c r="C1446">
        <f>MONTH('base-pms_spbrasil'!E1446)</f>
        <v>1</v>
      </c>
      <c r="D1446" s="3" t="str">
        <f>UPPER(TEXT('base-pms_spbrasil'!E1446,"MMMM"))</f>
        <v>JANEIRO</v>
      </c>
    </row>
    <row r="1447" spans="1:4" x14ac:dyDescent="0.25">
      <c r="A1447" s="1">
        <v>41671</v>
      </c>
      <c r="B1447">
        <f>YEAR('base-pms_spbrasil'!E1447)</f>
        <v>2014</v>
      </c>
      <c r="C1447">
        <f>MONTH('base-pms_spbrasil'!E1447)</f>
        <v>2</v>
      </c>
      <c r="D1447" s="3" t="str">
        <f>UPPER(TEXT('base-pms_spbrasil'!E1447,"MMMM"))</f>
        <v>FEVEREIRO</v>
      </c>
    </row>
    <row r="1448" spans="1:4" x14ac:dyDescent="0.25">
      <c r="A1448" s="1">
        <v>41699</v>
      </c>
      <c r="B1448">
        <f>YEAR('base-pms_spbrasil'!E1448)</f>
        <v>2014</v>
      </c>
      <c r="C1448">
        <f>MONTH('base-pms_spbrasil'!E1448)</f>
        <v>3</v>
      </c>
      <c r="D1448" s="3" t="str">
        <f>UPPER(TEXT('base-pms_spbrasil'!E1448,"MMMM"))</f>
        <v>MARÇO</v>
      </c>
    </row>
    <row r="1449" spans="1:4" x14ac:dyDescent="0.25">
      <c r="A1449" s="1">
        <v>41730</v>
      </c>
      <c r="B1449">
        <f>YEAR('base-pms_spbrasil'!E1449)</f>
        <v>2014</v>
      </c>
      <c r="C1449">
        <f>MONTH('base-pms_spbrasil'!E1449)</f>
        <v>4</v>
      </c>
      <c r="D1449" s="3" t="str">
        <f>UPPER(TEXT('base-pms_spbrasil'!E1449,"MMMM"))</f>
        <v>ABRIL</v>
      </c>
    </row>
    <row r="1450" spans="1:4" x14ac:dyDescent="0.25">
      <c r="A1450" s="1">
        <v>41760</v>
      </c>
      <c r="B1450">
        <f>YEAR('base-pms_spbrasil'!E1450)</f>
        <v>2014</v>
      </c>
      <c r="C1450">
        <f>MONTH('base-pms_spbrasil'!E1450)</f>
        <v>5</v>
      </c>
      <c r="D1450" s="3" t="str">
        <f>UPPER(TEXT('base-pms_spbrasil'!E1450,"MMMM"))</f>
        <v>MAIO</v>
      </c>
    </row>
    <row r="1451" spans="1:4" x14ac:dyDescent="0.25">
      <c r="A1451" s="1">
        <v>41791</v>
      </c>
      <c r="B1451">
        <f>YEAR('base-pms_spbrasil'!E1451)</f>
        <v>2014</v>
      </c>
      <c r="C1451">
        <f>MONTH('base-pms_spbrasil'!E1451)</f>
        <v>6</v>
      </c>
      <c r="D1451" s="3" t="str">
        <f>UPPER(TEXT('base-pms_spbrasil'!E1451,"MMMM"))</f>
        <v>JUNHO</v>
      </c>
    </row>
    <row r="1452" spans="1:4" x14ac:dyDescent="0.25">
      <c r="A1452" s="1">
        <v>41821</v>
      </c>
      <c r="B1452">
        <f>YEAR('base-pms_spbrasil'!E1452)</f>
        <v>2014</v>
      </c>
      <c r="C1452">
        <f>MONTH('base-pms_spbrasil'!E1452)</f>
        <v>7</v>
      </c>
      <c r="D1452" s="3" t="str">
        <f>UPPER(TEXT('base-pms_spbrasil'!E1452,"MMMM"))</f>
        <v>JULHO</v>
      </c>
    </row>
    <row r="1453" spans="1:4" x14ac:dyDescent="0.25">
      <c r="A1453" s="1">
        <v>41852</v>
      </c>
      <c r="B1453">
        <f>YEAR('base-pms_spbrasil'!E1453)</f>
        <v>2014</v>
      </c>
      <c r="C1453">
        <f>MONTH('base-pms_spbrasil'!E1453)</f>
        <v>8</v>
      </c>
      <c r="D1453" s="3" t="str">
        <f>UPPER(TEXT('base-pms_spbrasil'!E1453,"MMMM"))</f>
        <v>AGOSTO</v>
      </c>
    </row>
    <row r="1454" spans="1:4" x14ac:dyDescent="0.25">
      <c r="A1454" s="1">
        <v>41883</v>
      </c>
      <c r="B1454">
        <f>YEAR('base-pms_spbrasil'!E1454)</f>
        <v>2014</v>
      </c>
      <c r="C1454">
        <f>MONTH('base-pms_spbrasil'!E1454)</f>
        <v>9</v>
      </c>
      <c r="D1454" s="3" t="str">
        <f>UPPER(TEXT('base-pms_spbrasil'!E1454,"MMMM"))</f>
        <v>SETEMBRO</v>
      </c>
    </row>
    <row r="1455" spans="1:4" x14ac:dyDescent="0.25">
      <c r="A1455" s="1">
        <v>41913</v>
      </c>
      <c r="B1455">
        <f>YEAR('base-pms_spbrasil'!E1455)</f>
        <v>2014</v>
      </c>
      <c r="C1455">
        <f>MONTH('base-pms_spbrasil'!E1455)</f>
        <v>10</v>
      </c>
      <c r="D1455" s="3" t="str">
        <f>UPPER(TEXT('base-pms_spbrasil'!E1455,"MMMM"))</f>
        <v>OUTUBRO</v>
      </c>
    </row>
    <row r="1456" spans="1:4" x14ac:dyDescent="0.25">
      <c r="A1456" s="1">
        <v>41944</v>
      </c>
      <c r="B1456">
        <f>YEAR('base-pms_spbrasil'!E1456)</f>
        <v>2014</v>
      </c>
      <c r="C1456">
        <f>MONTH('base-pms_spbrasil'!E1456)</f>
        <v>11</v>
      </c>
      <c r="D1456" s="3" t="str">
        <f>UPPER(TEXT('base-pms_spbrasil'!E1456,"MMMM"))</f>
        <v>NOVEMBRO</v>
      </c>
    </row>
    <row r="1457" spans="1:4" x14ac:dyDescent="0.25">
      <c r="A1457" s="1">
        <v>41974</v>
      </c>
      <c r="B1457">
        <f>YEAR('base-pms_spbrasil'!E1457)</f>
        <v>2014</v>
      </c>
      <c r="C1457">
        <f>MONTH('base-pms_spbrasil'!E1457)</f>
        <v>12</v>
      </c>
      <c r="D1457" s="3" t="str">
        <f>UPPER(TEXT('base-pms_spbrasil'!E1457,"MMMM"))</f>
        <v>DEZEMBRO</v>
      </c>
    </row>
    <row r="1458" spans="1:4" x14ac:dyDescent="0.25">
      <c r="A1458" s="1">
        <v>42005</v>
      </c>
      <c r="B1458">
        <f>YEAR('base-pms_spbrasil'!E1458)</f>
        <v>2015</v>
      </c>
      <c r="C1458">
        <f>MONTH('base-pms_spbrasil'!E1458)</f>
        <v>1</v>
      </c>
      <c r="D1458" s="3" t="str">
        <f>UPPER(TEXT('base-pms_spbrasil'!E1458,"MMMM"))</f>
        <v>JANEIRO</v>
      </c>
    </row>
    <row r="1459" spans="1:4" x14ac:dyDescent="0.25">
      <c r="A1459" s="1">
        <v>42036</v>
      </c>
      <c r="B1459">
        <f>YEAR('base-pms_spbrasil'!E1459)</f>
        <v>2015</v>
      </c>
      <c r="C1459">
        <f>MONTH('base-pms_spbrasil'!E1459)</f>
        <v>2</v>
      </c>
      <c r="D1459" s="3" t="str">
        <f>UPPER(TEXT('base-pms_spbrasil'!E1459,"MMMM"))</f>
        <v>FEVEREIRO</v>
      </c>
    </row>
    <row r="1460" spans="1:4" x14ac:dyDescent="0.25">
      <c r="A1460" s="1">
        <v>42064</v>
      </c>
      <c r="B1460">
        <f>YEAR('base-pms_spbrasil'!E1460)</f>
        <v>2015</v>
      </c>
      <c r="C1460">
        <f>MONTH('base-pms_spbrasil'!E1460)</f>
        <v>3</v>
      </c>
      <c r="D1460" s="3" t="str">
        <f>UPPER(TEXT('base-pms_spbrasil'!E1460,"MMMM"))</f>
        <v>MARÇO</v>
      </c>
    </row>
    <row r="1461" spans="1:4" x14ac:dyDescent="0.25">
      <c r="A1461" s="1">
        <v>42095</v>
      </c>
      <c r="B1461">
        <f>YEAR('base-pms_spbrasil'!E1461)</f>
        <v>2015</v>
      </c>
      <c r="C1461">
        <f>MONTH('base-pms_spbrasil'!E1461)</f>
        <v>4</v>
      </c>
      <c r="D1461" s="3" t="str">
        <f>UPPER(TEXT('base-pms_spbrasil'!E1461,"MMMM"))</f>
        <v>ABRIL</v>
      </c>
    </row>
    <row r="1462" spans="1:4" x14ac:dyDescent="0.25">
      <c r="A1462" s="1">
        <v>42125</v>
      </c>
      <c r="B1462">
        <f>YEAR('base-pms_spbrasil'!E1462)</f>
        <v>2015</v>
      </c>
      <c r="C1462">
        <f>MONTH('base-pms_spbrasil'!E1462)</f>
        <v>5</v>
      </c>
      <c r="D1462" s="3" t="str">
        <f>UPPER(TEXT('base-pms_spbrasil'!E1462,"MMMM"))</f>
        <v>MAIO</v>
      </c>
    </row>
    <row r="1463" spans="1:4" x14ac:dyDescent="0.25">
      <c r="A1463" s="1">
        <v>42156</v>
      </c>
      <c r="B1463">
        <f>YEAR('base-pms_spbrasil'!E1463)</f>
        <v>2015</v>
      </c>
      <c r="C1463">
        <f>MONTH('base-pms_spbrasil'!E1463)</f>
        <v>6</v>
      </c>
      <c r="D1463" s="3" t="str">
        <f>UPPER(TEXT('base-pms_spbrasil'!E1463,"MMMM"))</f>
        <v>JUNHO</v>
      </c>
    </row>
    <row r="1464" spans="1:4" x14ac:dyDescent="0.25">
      <c r="A1464" s="1">
        <v>42186</v>
      </c>
      <c r="B1464">
        <f>YEAR('base-pms_spbrasil'!E1464)</f>
        <v>2015</v>
      </c>
      <c r="C1464">
        <f>MONTH('base-pms_spbrasil'!E1464)</f>
        <v>7</v>
      </c>
      <c r="D1464" s="3" t="str">
        <f>UPPER(TEXT('base-pms_spbrasil'!E1464,"MMMM"))</f>
        <v>JULHO</v>
      </c>
    </row>
    <row r="1465" spans="1:4" x14ac:dyDescent="0.25">
      <c r="A1465" s="1">
        <v>42217</v>
      </c>
      <c r="B1465">
        <f>YEAR('base-pms_spbrasil'!E1465)</f>
        <v>2015</v>
      </c>
      <c r="C1465">
        <f>MONTH('base-pms_spbrasil'!E1465)</f>
        <v>8</v>
      </c>
      <c r="D1465" s="3" t="str">
        <f>UPPER(TEXT('base-pms_spbrasil'!E1465,"MMMM"))</f>
        <v>AGOSTO</v>
      </c>
    </row>
    <row r="1466" spans="1:4" x14ac:dyDescent="0.25">
      <c r="A1466" s="1">
        <v>42248</v>
      </c>
      <c r="B1466">
        <f>YEAR('base-pms_spbrasil'!E1466)</f>
        <v>2015</v>
      </c>
      <c r="C1466">
        <f>MONTH('base-pms_spbrasil'!E1466)</f>
        <v>9</v>
      </c>
      <c r="D1466" s="3" t="str">
        <f>UPPER(TEXT('base-pms_spbrasil'!E1466,"MMMM"))</f>
        <v>SETEMBRO</v>
      </c>
    </row>
    <row r="1467" spans="1:4" x14ac:dyDescent="0.25">
      <c r="A1467" s="1">
        <v>42278</v>
      </c>
      <c r="B1467">
        <f>YEAR('base-pms_spbrasil'!E1467)</f>
        <v>2015</v>
      </c>
      <c r="C1467">
        <f>MONTH('base-pms_spbrasil'!E1467)</f>
        <v>10</v>
      </c>
      <c r="D1467" s="3" t="str">
        <f>UPPER(TEXT('base-pms_spbrasil'!E1467,"MMMM"))</f>
        <v>OUTUBRO</v>
      </c>
    </row>
    <row r="1468" spans="1:4" x14ac:dyDescent="0.25">
      <c r="A1468" s="1">
        <v>42309</v>
      </c>
      <c r="B1468">
        <f>YEAR('base-pms_spbrasil'!E1468)</f>
        <v>2015</v>
      </c>
      <c r="C1468">
        <f>MONTH('base-pms_spbrasil'!E1468)</f>
        <v>11</v>
      </c>
      <c r="D1468" s="3" t="str">
        <f>UPPER(TEXT('base-pms_spbrasil'!E1468,"MMMM"))</f>
        <v>NOVEMBRO</v>
      </c>
    </row>
    <row r="1469" spans="1:4" x14ac:dyDescent="0.25">
      <c r="A1469" s="1">
        <v>42339</v>
      </c>
      <c r="B1469">
        <f>YEAR('base-pms_spbrasil'!E1469)</f>
        <v>2015</v>
      </c>
      <c r="C1469">
        <f>MONTH('base-pms_spbrasil'!E1469)</f>
        <v>12</v>
      </c>
      <c r="D1469" s="3" t="str">
        <f>UPPER(TEXT('base-pms_spbrasil'!E1469,"MMMM"))</f>
        <v>DEZEMBRO</v>
      </c>
    </row>
    <row r="1470" spans="1:4" x14ac:dyDescent="0.25">
      <c r="A1470" s="1">
        <v>42370</v>
      </c>
      <c r="B1470">
        <f>YEAR('base-pms_spbrasil'!E1470)</f>
        <v>2016</v>
      </c>
      <c r="C1470">
        <f>MONTH('base-pms_spbrasil'!E1470)</f>
        <v>1</v>
      </c>
      <c r="D1470" s="3" t="str">
        <f>UPPER(TEXT('base-pms_spbrasil'!E1470,"MMMM"))</f>
        <v>JANEIRO</v>
      </c>
    </row>
    <row r="1471" spans="1:4" x14ac:dyDescent="0.25">
      <c r="A1471" s="1">
        <v>42401</v>
      </c>
      <c r="B1471">
        <f>YEAR('base-pms_spbrasil'!E1471)</f>
        <v>2016</v>
      </c>
      <c r="C1471">
        <f>MONTH('base-pms_spbrasil'!E1471)</f>
        <v>2</v>
      </c>
      <c r="D1471" s="3" t="str">
        <f>UPPER(TEXT('base-pms_spbrasil'!E1471,"MMMM"))</f>
        <v>FEVEREIRO</v>
      </c>
    </row>
    <row r="1472" spans="1:4" x14ac:dyDescent="0.25">
      <c r="A1472" s="1">
        <v>42430</v>
      </c>
      <c r="B1472">
        <f>YEAR('base-pms_spbrasil'!E1472)</f>
        <v>2016</v>
      </c>
      <c r="C1472">
        <f>MONTH('base-pms_spbrasil'!E1472)</f>
        <v>3</v>
      </c>
      <c r="D1472" s="3" t="str">
        <f>UPPER(TEXT('base-pms_spbrasil'!E1472,"MMMM"))</f>
        <v>MARÇO</v>
      </c>
    </row>
    <row r="1473" spans="1:4" x14ac:dyDescent="0.25">
      <c r="A1473" s="1">
        <v>42461</v>
      </c>
      <c r="B1473">
        <f>YEAR('base-pms_spbrasil'!E1473)</f>
        <v>2016</v>
      </c>
      <c r="C1473">
        <f>MONTH('base-pms_spbrasil'!E1473)</f>
        <v>4</v>
      </c>
      <c r="D1473" s="3" t="str">
        <f>UPPER(TEXT('base-pms_spbrasil'!E1473,"MMMM"))</f>
        <v>ABRIL</v>
      </c>
    </row>
    <row r="1474" spans="1:4" x14ac:dyDescent="0.25">
      <c r="A1474" s="1">
        <v>42491</v>
      </c>
      <c r="B1474">
        <f>YEAR('base-pms_spbrasil'!E1474)</f>
        <v>2016</v>
      </c>
      <c r="C1474">
        <f>MONTH('base-pms_spbrasil'!E1474)</f>
        <v>5</v>
      </c>
      <c r="D1474" s="3" t="str">
        <f>UPPER(TEXT('base-pms_spbrasil'!E1474,"MMMM"))</f>
        <v>MAIO</v>
      </c>
    </row>
    <row r="1475" spans="1:4" x14ac:dyDescent="0.25">
      <c r="A1475" s="1">
        <v>42522</v>
      </c>
      <c r="B1475">
        <f>YEAR('base-pms_spbrasil'!E1475)</f>
        <v>2016</v>
      </c>
      <c r="C1475">
        <f>MONTH('base-pms_spbrasil'!E1475)</f>
        <v>6</v>
      </c>
      <c r="D1475" s="3" t="str">
        <f>UPPER(TEXT('base-pms_spbrasil'!E1475,"MMMM"))</f>
        <v>JUNHO</v>
      </c>
    </row>
    <row r="1476" spans="1:4" x14ac:dyDescent="0.25">
      <c r="A1476" s="1">
        <v>42552</v>
      </c>
      <c r="B1476">
        <f>YEAR('base-pms_spbrasil'!E1476)</f>
        <v>2016</v>
      </c>
      <c r="C1476">
        <f>MONTH('base-pms_spbrasil'!E1476)</f>
        <v>7</v>
      </c>
      <c r="D1476" s="3" t="str">
        <f>UPPER(TEXT('base-pms_spbrasil'!E1476,"MMMM"))</f>
        <v>JULHO</v>
      </c>
    </row>
    <row r="1477" spans="1:4" x14ac:dyDescent="0.25">
      <c r="A1477" s="1">
        <v>42583</v>
      </c>
      <c r="B1477">
        <f>YEAR('base-pms_spbrasil'!E1477)</f>
        <v>2016</v>
      </c>
      <c r="C1477">
        <f>MONTH('base-pms_spbrasil'!E1477)</f>
        <v>8</v>
      </c>
      <c r="D1477" s="3" t="str">
        <f>UPPER(TEXT('base-pms_spbrasil'!E1477,"MMMM"))</f>
        <v>AGOSTO</v>
      </c>
    </row>
    <row r="1478" spans="1:4" x14ac:dyDescent="0.25">
      <c r="A1478" s="1">
        <v>42614</v>
      </c>
      <c r="B1478">
        <f>YEAR('base-pms_spbrasil'!E1478)</f>
        <v>2016</v>
      </c>
      <c r="C1478">
        <f>MONTH('base-pms_spbrasil'!E1478)</f>
        <v>9</v>
      </c>
      <c r="D1478" s="3" t="str">
        <f>UPPER(TEXT('base-pms_spbrasil'!E1478,"MMMM"))</f>
        <v>SETEMBRO</v>
      </c>
    </row>
    <row r="1479" spans="1:4" x14ac:dyDescent="0.25">
      <c r="A1479" s="1">
        <v>42644</v>
      </c>
      <c r="B1479">
        <f>YEAR('base-pms_spbrasil'!E1479)</f>
        <v>2016</v>
      </c>
      <c r="C1479">
        <f>MONTH('base-pms_spbrasil'!E1479)</f>
        <v>10</v>
      </c>
      <c r="D1479" s="3" t="str">
        <f>UPPER(TEXT('base-pms_spbrasil'!E1479,"MMMM"))</f>
        <v>OUTUBRO</v>
      </c>
    </row>
    <row r="1480" spans="1:4" x14ac:dyDescent="0.25">
      <c r="A1480" s="1">
        <v>42675</v>
      </c>
      <c r="B1480">
        <f>YEAR('base-pms_spbrasil'!E1480)</f>
        <v>2016</v>
      </c>
      <c r="C1480">
        <f>MONTH('base-pms_spbrasil'!E1480)</f>
        <v>11</v>
      </c>
      <c r="D1480" s="3" t="str">
        <f>UPPER(TEXT('base-pms_spbrasil'!E1480,"MMMM"))</f>
        <v>NOVEMBRO</v>
      </c>
    </row>
    <row r="1481" spans="1:4" x14ac:dyDescent="0.25">
      <c r="A1481" s="1">
        <v>42705</v>
      </c>
      <c r="B1481">
        <f>YEAR('base-pms_spbrasil'!E1481)</f>
        <v>2016</v>
      </c>
      <c r="C1481">
        <f>MONTH('base-pms_spbrasil'!E1481)</f>
        <v>12</v>
      </c>
      <c r="D1481" s="3" t="str">
        <f>UPPER(TEXT('base-pms_spbrasil'!E1481,"MMMM"))</f>
        <v>DEZEMBRO</v>
      </c>
    </row>
    <row r="1482" spans="1:4" x14ac:dyDescent="0.25">
      <c r="A1482" s="1">
        <v>42736</v>
      </c>
      <c r="B1482">
        <f>YEAR('base-pms_spbrasil'!E1482)</f>
        <v>2017</v>
      </c>
      <c r="C1482">
        <f>MONTH('base-pms_spbrasil'!E1482)</f>
        <v>1</v>
      </c>
      <c r="D1482" s="3" t="str">
        <f>UPPER(TEXT('base-pms_spbrasil'!E1482,"MMMM"))</f>
        <v>JANEIRO</v>
      </c>
    </row>
    <row r="1483" spans="1:4" x14ac:dyDescent="0.25">
      <c r="A1483" s="1">
        <v>42767</v>
      </c>
      <c r="B1483">
        <f>YEAR('base-pms_spbrasil'!E1483)</f>
        <v>2017</v>
      </c>
      <c r="C1483">
        <f>MONTH('base-pms_spbrasil'!E1483)</f>
        <v>2</v>
      </c>
      <c r="D1483" s="3" t="str">
        <f>UPPER(TEXT('base-pms_spbrasil'!E1483,"MMMM"))</f>
        <v>FEVEREIRO</v>
      </c>
    </row>
    <row r="1484" spans="1:4" x14ac:dyDescent="0.25">
      <c r="A1484" s="1">
        <v>42795</v>
      </c>
      <c r="B1484">
        <f>YEAR('base-pms_spbrasil'!E1484)</f>
        <v>2017</v>
      </c>
      <c r="C1484">
        <f>MONTH('base-pms_spbrasil'!E1484)</f>
        <v>3</v>
      </c>
      <c r="D1484" s="3" t="str">
        <f>UPPER(TEXT('base-pms_spbrasil'!E1484,"MMMM"))</f>
        <v>MARÇO</v>
      </c>
    </row>
    <row r="1485" spans="1:4" x14ac:dyDescent="0.25">
      <c r="A1485" s="1">
        <v>42826</v>
      </c>
      <c r="B1485">
        <f>YEAR('base-pms_spbrasil'!E1485)</f>
        <v>2017</v>
      </c>
      <c r="C1485">
        <f>MONTH('base-pms_spbrasil'!E1485)</f>
        <v>4</v>
      </c>
      <c r="D1485" s="3" t="str">
        <f>UPPER(TEXT('base-pms_spbrasil'!E1485,"MMMM"))</f>
        <v>ABRIL</v>
      </c>
    </row>
    <row r="1486" spans="1:4" x14ac:dyDescent="0.25">
      <c r="A1486" s="1">
        <v>42856</v>
      </c>
      <c r="B1486">
        <f>YEAR('base-pms_spbrasil'!E1486)</f>
        <v>2017</v>
      </c>
      <c r="C1486">
        <f>MONTH('base-pms_spbrasil'!E1486)</f>
        <v>5</v>
      </c>
      <c r="D1486" s="3" t="str">
        <f>UPPER(TEXT('base-pms_spbrasil'!E1486,"MMMM"))</f>
        <v>MAIO</v>
      </c>
    </row>
    <row r="1487" spans="1:4" x14ac:dyDescent="0.25">
      <c r="A1487" s="1">
        <v>42887</v>
      </c>
      <c r="B1487">
        <f>YEAR('base-pms_spbrasil'!E1487)</f>
        <v>2017</v>
      </c>
      <c r="C1487">
        <f>MONTH('base-pms_spbrasil'!E1487)</f>
        <v>6</v>
      </c>
      <c r="D1487" s="3" t="str">
        <f>UPPER(TEXT('base-pms_spbrasil'!E1487,"MMMM"))</f>
        <v>JUNHO</v>
      </c>
    </row>
    <row r="1488" spans="1:4" x14ac:dyDescent="0.25">
      <c r="A1488" s="1">
        <v>42917</v>
      </c>
      <c r="B1488">
        <f>YEAR('base-pms_spbrasil'!E1488)</f>
        <v>2017</v>
      </c>
      <c r="C1488">
        <f>MONTH('base-pms_spbrasil'!E1488)</f>
        <v>7</v>
      </c>
      <c r="D1488" s="3" t="str">
        <f>UPPER(TEXT('base-pms_spbrasil'!E1488,"MMMM"))</f>
        <v>JULHO</v>
      </c>
    </row>
    <row r="1489" spans="1:4" x14ac:dyDescent="0.25">
      <c r="A1489" s="1">
        <v>42948</v>
      </c>
      <c r="B1489">
        <f>YEAR('base-pms_spbrasil'!E1489)</f>
        <v>2017</v>
      </c>
      <c r="C1489">
        <f>MONTH('base-pms_spbrasil'!E1489)</f>
        <v>8</v>
      </c>
      <c r="D1489" s="3" t="str">
        <f>UPPER(TEXT('base-pms_spbrasil'!E1489,"MMMM"))</f>
        <v>AGOSTO</v>
      </c>
    </row>
    <row r="1490" spans="1:4" x14ac:dyDescent="0.25">
      <c r="A1490" s="1">
        <v>42979</v>
      </c>
      <c r="B1490">
        <f>YEAR('base-pms_spbrasil'!E1490)</f>
        <v>2017</v>
      </c>
      <c r="C1490">
        <f>MONTH('base-pms_spbrasil'!E1490)</f>
        <v>9</v>
      </c>
      <c r="D1490" s="3" t="str">
        <f>UPPER(TEXT('base-pms_spbrasil'!E1490,"MMMM"))</f>
        <v>SETEMBRO</v>
      </c>
    </row>
    <row r="1491" spans="1:4" x14ac:dyDescent="0.25">
      <c r="A1491" s="1">
        <v>43009</v>
      </c>
      <c r="B1491">
        <f>YEAR('base-pms_spbrasil'!E1491)</f>
        <v>2017</v>
      </c>
      <c r="C1491">
        <f>MONTH('base-pms_spbrasil'!E1491)</f>
        <v>10</v>
      </c>
      <c r="D1491" s="3" t="str">
        <f>UPPER(TEXT('base-pms_spbrasil'!E1491,"MMMM"))</f>
        <v>OUTUBRO</v>
      </c>
    </row>
    <row r="1492" spans="1:4" x14ac:dyDescent="0.25">
      <c r="A1492" s="1">
        <v>43040</v>
      </c>
      <c r="B1492">
        <f>YEAR('base-pms_spbrasil'!E1492)</f>
        <v>2017</v>
      </c>
      <c r="C1492">
        <f>MONTH('base-pms_spbrasil'!E1492)</f>
        <v>11</v>
      </c>
      <c r="D1492" s="3" t="str">
        <f>UPPER(TEXT('base-pms_spbrasil'!E1492,"MMMM"))</f>
        <v>NOVEMBRO</v>
      </c>
    </row>
    <row r="1493" spans="1:4" x14ac:dyDescent="0.25">
      <c r="A1493" s="1">
        <v>43070</v>
      </c>
      <c r="B1493">
        <f>YEAR('base-pms_spbrasil'!E1493)</f>
        <v>2017</v>
      </c>
      <c r="C1493">
        <f>MONTH('base-pms_spbrasil'!E1493)</f>
        <v>12</v>
      </c>
      <c r="D1493" s="3" t="str">
        <f>UPPER(TEXT('base-pms_spbrasil'!E1493,"MMMM"))</f>
        <v>DEZEMBRO</v>
      </c>
    </row>
    <row r="1494" spans="1:4" x14ac:dyDescent="0.25">
      <c r="A1494" s="1">
        <v>43101</v>
      </c>
      <c r="B1494">
        <f>YEAR('base-pms_spbrasil'!E1494)</f>
        <v>2018</v>
      </c>
      <c r="C1494">
        <f>MONTH('base-pms_spbrasil'!E1494)</f>
        <v>1</v>
      </c>
      <c r="D1494" s="3" t="str">
        <f>UPPER(TEXT('base-pms_spbrasil'!E1494,"MMMM"))</f>
        <v>JANEIRO</v>
      </c>
    </row>
    <row r="1495" spans="1:4" x14ac:dyDescent="0.25">
      <c r="A1495" s="1">
        <v>43132</v>
      </c>
      <c r="B1495">
        <f>YEAR('base-pms_spbrasil'!E1495)</f>
        <v>2018</v>
      </c>
      <c r="C1495">
        <f>MONTH('base-pms_spbrasil'!E1495)</f>
        <v>2</v>
      </c>
      <c r="D1495" s="3" t="str">
        <f>UPPER(TEXT('base-pms_spbrasil'!E1495,"MMMM"))</f>
        <v>FEVEREIRO</v>
      </c>
    </row>
    <row r="1496" spans="1:4" x14ac:dyDescent="0.25">
      <c r="A1496" s="1">
        <v>43160</v>
      </c>
      <c r="B1496">
        <f>YEAR('base-pms_spbrasil'!E1496)</f>
        <v>2018</v>
      </c>
      <c r="C1496">
        <f>MONTH('base-pms_spbrasil'!E1496)</f>
        <v>3</v>
      </c>
      <c r="D1496" s="3" t="str">
        <f>UPPER(TEXT('base-pms_spbrasil'!E1496,"MMMM"))</f>
        <v>MARÇO</v>
      </c>
    </row>
    <row r="1497" spans="1:4" x14ac:dyDescent="0.25">
      <c r="A1497" s="1">
        <v>43191</v>
      </c>
      <c r="B1497">
        <f>YEAR('base-pms_spbrasil'!E1497)</f>
        <v>2018</v>
      </c>
      <c r="C1497">
        <f>MONTH('base-pms_spbrasil'!E1497)</f>
        <v>4</v>
      </c>
      <c r="D1497" s="3" t="str">
        <f>UPPER(TEXT('base-pms_spbrasil'!E1497,"MMMM"))</f>
        <v>ABRIL</v>
      </c>
    </row>
    <row r="1498" spans="1:4" x14ac:dyDescent="0.25">
      <c r="A1498" s="1">
        <v>43221</v>
      </c>
      <c r="B1498">
        <f>YEAR('base-pms_spbrasil'!E1498)</f>
        <v>2018</v>
      </c>
      <c r="C1498">
        <f>MONTH('base-pms_spbrasil'!E1498)</f>
        <v>5</v>
      </c>
      <c r="D1498" s="3" t="str">
        <f>UPPER(TEXT('base-pms_spbrasil'!E1498,"MMMM"))</f>
        <v>MAIO</v>
      </c>
    </row>
    <row r="1499" spans="1:4" x14ac:dyDescent="0.25">
      <c r="A1499" s="1">
        <v>43252</v>
      </c>
      <c r="B1499">
        <f>YEAR('base-pms_spbrasil'!E1499)</f>
        <v>2018</v>
      </c>
      <c r="C1499">
        <f>MONTH('base-pms_spbrasil'!E1499)</f>
        <v>6</v>
      </c>
      <c r="D1499" s="3" t="str">
        <f>UPPER(TEXT('base-pms_spbrasil'!E1499,"MMMM"))</f>
        <v>JUNHO</v>
      </c>
    </row>
    <row r="1500" spans="1:4" x14ac:dyDescent="0.25">
      <c r="A1500" s="1">
        <v>43282</v>
      </c>
      <c r="B1500">
        <f>YEAR('base-pms_spbrasil'!E1500)</f>
        <v>2018</v>
      </c>
      <c r="C1500">
        <f>MONTH('base-pms_spbrasil'!E1500)</f>
        <v>7</v>
      </c>
      <c r="D1500" s="3" t="str">
        <f>UPPER(TEXT('base-pms_spbrasil'!E1500,"MMMM"))</f>
        <v>JULHO</v>
      </c>
    </row>
    <row r="1501" spans="1:4" x14ac:dyDescent="0.25">
      <c r="A1501" s="1">
        <v>43313</v>
      </c>
      <c r="B1501">
        <f>YEAR('base-pms_spbrasil'!E1501)</f>
        <v>2018</v>
      </c>
      <c r="C1501">
        <f>MONTH('base-pms_spbrasil'!E1501)</f>
        <v>8</v>
      </c>
      <c r="D1501" s="3" t="str">
        <f>UPPER(TEXT('base-pms_spbrasil'!E1501,"MMMM"))</f>
        <v>AGOSTO</v>
      </c>
    </row>
    <row r="1502" spans="1:4" x14ac:dyDescent="0.25">
      <c r="A1502" s="1">
        <v>43344</v>
      </c>
      <c r="B1502">
        <f>YEAR('base-pms_spbrasil'!E1502)</f>
        <v>2018</v>
      </c>
      <c r="C1502">
        <f>MONTH('base-pms_spbrasil'!E1502)</f>
        <v>9</v>
      </c>
      <c r="D1502" s="3" t="str">
        <f>UPPER(TEXT('base-pms_spbrasil'!E1502,"MMMM"))</f>
        <v>SETEMBRO</v>
      </c>
    </row>
    <row r="1503" spans="1:4" x14ac:dyDescent="0.25">
      <c r="A1503" s="1">
        <v>43374</v>
      </c>
      <c r="B1503">
        <f>YEAR('base-pms_spbrasil'!E1503)</f>
        <v>2018</v>
      </c>
      <c r="C1503">
        <f>MONTH('base-pms_spbrasil'!E1503)</f>
        <v>10</v>
      </c>
      <c r="D1503" s="3" t="str">
        <f>UPPER(TEXT('base-pms_spbrasil'!E1503,"MMMM"))</f>
        <v>OUTUBRO</v>
      </c>
    </row>
    <row r="1504" spans="1:4" x14ac:dyDescent="0.25">
      <c r="A1504" s="1">
        <v>43405</v>
      </c>
      <c r="B1504">
        <f>YEAR('base-pms_spbrasil'!E1504)</f>
        <v>2018</v>
      </c>
      <c r="C1504">
        <f>MONTH('base-pms_spbrasil'!E1504)</f>
        <v>11</v>
      </c>
      <c r="D1504" s="3" t="str">
        <f>UPPER(TEXT('base-pms_spbrasil'!E1504,"MMMM"))</f>
        <v>NOVEMBRO</v>
      </c>
    </row>
    <row r="1505" spans="1:4" x14ac:dyDescent="0.25">
      <c r="A1505" s="1">
        <v>43435</v>
      </c>
      <c r="B1505">
        <f>YEAR('base-pms_spbrasil'!E1505)</f>
        <v>2018</v>
      </c>
      <c r="C1505">
        <f>MONTH('base-pms_spbrasil'!E1505)</f>
        <v>12</v>
      </c>
      <c r="D1505" s="3" t="str">
        <f>UPPER(TEXT('base-pms_spbrasil'!E1505,"MMMM"))</f>
        <v>DEZEMBRO</v>
      </c>
    </row>
    <row r="1506" spans="1:4" x14ac:dyDescent="0.25">
      <c r="A1506" s="1">
        <v>43466</v>
      </c>
      <c r="B1506">
        <f>YEAR('base-pms_spbrasil'!E1506)</f>
        <v>2019</v>
      </c>
      <c r="C1506">
        <f>MONTH('base-pms_spbrasil'!E1506)</f>
        <v>1</v>
      </c>
      <c r="D1506" s="3" t="str">
        <f>UPPER(TEXT('base-pms_spbrasil'!E1506,"MMMM"))</f>
        <v>JANEIRO</v>
      </c>
    </row>
    <row r="1507" spans="1:4" x14ac:dyDescent="0.25">
      <c r="A1507" s="1">
        <v>43497</v>
      </c>
      <c r="B1507">
        <f>YEAR('base-pms_spbrasil'!E1507)</f>
        <v>2019</v>
      </c>
      <c r="C1507">
        <f>MONTH('base-pms_spbrasil'!E1507)</f>
        <v>2</v>
      </c>
      <c r="D1507" s="3" t="str">
        <f>UPPER(TEXT('base-pms_spbrasil'!E1507,"MMMM"))</f>
        <v>FEVEREIRO</v>
      </c>
    </row>
    <row r="1508" spans="1:4" x14ac:dyDescent="0.25">
      <c r="A1508" s="1">
        <v>43525</v>
      </c>
      <c r="B1508">
        <f>YEAR('base-pms_spbrasil'!E1508)</f>
        <v>2019</v>
      </c>
      <c r="C1508">
        <f>MONTH('base-pms_spbrasil'!E1508)</f>
        <v>3</v>
      </c>
      <c r="D1508" s="3" t="str">
        <f>UPPER(TEXT('base-pms_spbrasil'!E1508,"MMMM"))</f>
        <v>MARÇO</v>
      </c>
    </row>
    <row r="1509" spans="1:4" x14ac:dyDescent="0.25">
      <c r="A1509" s="1">
        <v>43556</v>
      </c>
      <c r="B1509">
        <f>YEAR('base-pms_spbrasil'!E1509)</f>
        <v>2019</v>
      </c>
      <c r="C1509">
        <f>MONTH('base-pms_spbrasil'!E1509)</f>
        <v>4</v>
      </c>
      <c r="D1509" s="3" t="str">
        <f>UPPER(TEXT('base-pms_spbrasil'!E1509,"MMMM"))</f>
        <v>ABRIL</v>
      </c>
    </row>
    <row r="1510" spans="1:4" x14ac:dyDescent="0.25">
      <c r="A1510" s="1">
        <v>43586</v>
      </c>
      <c r="B1510">
        <f>YEAR('base-pms_spbrasil'!E1510)</f>
        <v>2019</v>
      </c>
      <c r="C1510">
        <f>MONTH('base-pms_spbrasil'!E1510)</f>
        <v>5</v>
      </c>
      <c r="D1510" s="3" t="str">
        <f>UPPER(TEXT('base-pms_spbrasil'!E1510,"MMMM"))</f>
        <v>MAIO</v>
      </c>
    </row>
    <row r="1511" spans="1:4" x14ac:dyDescent="0.25">
      <c r="A1511" s="1">
        <v>43617</v>
      </c>
      <c r="B1511">
        <f>YEAR('base-pms_spbrasil'!E1511)</f>
        <v>2019</v>
      </c>
      <c r="C1511">
        <f>MONTH('base-pms_spbrasil'!E1511)</f>
        <v>6</v>
      </c>
      <c r="D1511" s="3" t="str">
        <f>UPPER(TEXT('base-pms_spbrasil'!E1511,"MMMM"))</f>
        <v>JUNHO</v>
      </c>
    </row>
    <row r="1512" spans="1:4" x14ac:dyDescent="0.25">
      <c r="A1512" s="1">
        <v>43647</v>
      </c>
      <c r="B1512">
        <f>YEAR('base-pms_spbrasil'!E1512)</f>
        <v>2019</v>
      </c>
      <c r="C1512">
        <f>MONTH('base-pms_spbrasil'!E1512)</f>
        <v>7</v>
      </c>
      <c r="D1512" s="3" t="str">
        <f>UPPER(TEXT('base-pms_spbrasil'!E1512,"MMMM"))</f>
        <v>JULHO</v>
      </c>
    </row>
    <row r="1513" spans="1:4" x14ac:dyDescent="0.25">
      <c r="A1513" s="1">
        <v>43678</v>
      </c>
      <c r="B1513">
        <f>YEAR('base-pms_spbrasil'!E1513)</f>
        <v>2019</v>
      </c>
      <c r="C1513">
        <f>MONTH('base-pms_spbrasil'!E1513)</f>
        <v>8</v>
      </c>
      <c r="D1513" s="3" t="str">
        <f>UPPER(TEXT('base-pms_spbrasil'!E1513,"MMMM"))</f>
        <v>AGOSTO</v>
      </c>
    </row>
    <row r="1514" spans="1:4" x14ac:dyDescent="0.25">
      <c r="A1514" s="1">
        <v>43709</v>
      </c>
      <c r="B1514">
        <f>YEAR('base-pms_spbrasil'!E1514)</f>
        <v>2019</v>
      </c>
      <c r="C1514">
        <f>MONTH('base-pms_spbrasil'!E1514)</f>
        <v>9</v>
      </c>
      <c r="D1514" s="3" t="str">
        <f>UPPER(TEXT('base-pms_spbrasil'!E1514,"MMMM"))</f>
        <v>SETEMBRO</v>
      </c>
    </row>
    <row r="1515" spans="1:4" x14ac:dyDescent="0.25">
      <c r="A1515" s="1">
        <v>43739</v>
      </c>
      <c r="B1515">
        <f>YEAR('base-pms_spbrasil'!E1515)</f>
        <v>2019</v>
      </c>
      <c r="C1515">
        <f>MONTH('base-pms_spbrasil'!E1515)</f>
        <v>10</v>
      </c>
      <c r="D1515" s="3" t="str">
        <f>UPPER(TEXT('base-pms_spbrasil'!E1515,"MMMM"))</f>
        <v>OUTUBRO</v>
      </c>
    </row>
    <row r="1516" spans="1:4" x14ac:dyDescent="0.25">
      <c r="A1516" s="1">
        <v>43770</v>
      </c>
      <c r="B1516">
        <f>YEAR('base-pms_spbrasil'!E1516)</f>
        <v>2019</v>
      </c>
      <c r="C1516">
        <f>MONTH('base-pms_spbrasil'!E1516)</f>
        <v>11</v>
      </c>
      <c r="D1516" s="3" t="str">
        <f>UPPER(TEXT('base-pms_spbrasil'!E1516,"MMMM"))</f>
        <v>NOVEMBRO</v>
      </c>
    </row>
    <row r="1517" spans="1:4" x14ac:dyDescent="0.25">
      <c r="A1517" s="1">
        <v>43800</v>
      </c>
      <c r="B1517">
        <f>YEAR('base-pms_spbrasil'!E1517)</f>
        <v>2019</v>
      </c>
      <c r="C1517">
        <f>MONTH('base-pms_spbrasil'!E1517)</f>
        <v>12</v>
      </c>
      <c r="D1517" s="3" t="str">
        <f>UPPER(TEXT('base-pms_spbrasil'!E1517,"MMMM"))</f>
        <v>DEZEMBRO</v>
      </c>
    </row>
    <row r="1518" spans="1:4" x14ac:dyDescent="0.25">
      <c r="A1518" s="1">
        <v>43831</v>
      </c>
      <c r="B1518">
        <f>YEAR('base-pms_spbrasil'!E1518)</f>
        <v>2020</v>
      </c>
      <c r="C1518">
        <f>MONTH('base-pms_spbrasil'!E1518)</f>
        <v>1</v>
      </c>
      <c r="D1518" s="3" t="str">
        <f>UPPER(TEXT('base-pms_spbrasil'!E1518,"MMMM"))</f>
        <v>JANEIRO</v>
      </c>
    </row>
    <row r="1519" spans="1:4" x14ac:dyDescent="0.25">
      <c r="A1519" s="1">
        <v>43862</v>
      </c>
      <c r="B1519">
        <f>YEAR('base-pms_spbrasil'!E1519)</f>
        <v>2020</v>
      </c>
      <c r="C1519">
        <f>MONTH('base-pms_spbrasil'!E1519)</f>
        <v>2</v>
      </c>
      <c r="D1519" s="3" t="str">
        <f>UPPER(TEXT('base-pms_spbrasil'!E1519,"MMMM"))</f>
        <v>FEVEREIRO</v>
      </c>
    </row>
    <row r="1520" spans="1:4" x14ac:dyDescent="0.25">
      <c r="A1520" s="1">
        <v>43891</v>
      </c>
      <c r="B1520">
        <f>YEAR('base-pms_spbrasil'!E1520)</f>
        <v>2020</v>
      </c>
      <c r="C1520">
        <f>MONTH('base-pms_spbrasil'!E1520)</f>
        <v>3</v>
      </c>
      <c r="D1520" s="3" t="str">
        <f>UPPER(TEXT('base-pms_spbrasil'!E1520,"MMMM"))</f>
        <v>MARÇO</v>
      </c>
    </row>
    <row r="1521" spans="1:4" x14ac:dyDescent="0.25">
      <c r="A1521" s="1">
        <v>43922</v>
      </c>
      <c r="B1521">
        <f>YEAR('base-pms_spbrasil'!E1521)</f>
        <v>2020</v>
      </c>
      <c r="C1521">
        <f>MONTH('base-pms_spbrasil'!E1521)</f>
        <v>4</v>
      </c>
      <c r="D1521" s="3" t="str">
        <f>UPPER(TEXT('base-pms_spbrasil'!E1521,"MMMM"))</f>
        <v>ABRIL</v>
      </c>
    </row>
    <row r="1522" spans="1:4" x14ac:dyDescent="0.25">
      <c r="A1522" s="1">
        <v>43952</v>
      </c>
      <c r="B1522">
        <f>YEAR('base-pms_spbrasil'!E1522)</f>
        <v>2020</v>
      </c>
      <c r="C1522">
        <f>MONTH('base-pms_spbrasil'!E1522)</f>
        <v>5</v>
      </c>
      <c r="D1522" s="3" t="str">
        <f>UPPER(TEXT('base-pms_spbrasil'!E1522,"MMMM"))</f>
        <v>MAIO</v>
      </c>
    </row>
    <row r="1523" spans="1:4" x14ac:dyDescent="0.25">
      <c r="A1523" s="1">
        <v>43983</v>
      </c>
      <c r="B1523">
        <f>YEAR('base-pms_spbrasil'!E1523)</f>
        <v>2020</v>
      </c>
      <c r="C1523">
        <f>MONTH('base-pms_spbrasil'!E1523)</f>
        <v>6</v>
      </c>
      <c r="D1523" s="3" t="str">
        <f>UPPER(TEXT('base-pms_spbrasil'!E1523,"MMMM"))</f>
        <v>JUNHO</v>
      </c>
    </row>
    <row r="1524" spans="1:4" x14ac:dyDescent="0.25">
      <c r="A1524" s="1">
        <v>44013</v>
      </c>
      <c r="B1524">
        <f>YEAR('base-pms_spbrasil'!E1524)</f>
        <v>2020</v>
      </c>
      <c r="C1524">
        <f>MONTH('base-pms_spbrasil'!E1524)</f>
        <v>7</v>
      </c>
      <c r="D1524" s="3" t="str">
        <f>UPPER(TEXT('base-pms_spbrasil'!E1524,"MMMM"))</f>
        <v>JULHO</v>
      </c>
    </row>
    <row r="1525" spans="1:4" x14ac:dyDescent="0.25">
      <c r="A1525" s="1">
        <v>44044</v>
      </c>
      <c r="B1525">
        <f>YEAR('base-pms_spbrasil'!E1525)</f>
        <v>2020</v>
      </c>
      <c r="C1525">
        <f>MONTH('base-pms_spbrasil'!E1525)</f>
        <v>8</v>
      </c>
      <c r="D1525" s="3" t="str">
        <f>UPPER(TEXT('base-pms_spbrasil'!E1525,"MMMM"))</f>
        <v>AGOSTO</v>
      </c>
    </row>
    <row r="1526" spans="1:4" x14ac:dyDescent="0.25">
      <c r="A1526" s="1">
        <v>44075</v>
      </c>
      <c r="B1526">
        <f>YEAR('base-pms_spbrasil'!E1526)</f>
        <v>2020</v>
      </c>
      <c r="C1526">
        <f>MONTH('base-pms_spbrasil'!E1526)</f>
        <v>9</v>
      </c>
      <c r="D1526" s="3" t="str">
        <f>UPPER(TEXT('base-pms_spbrasil'!E1526,"MMMM"))</f>
        <v>SETEMBRO</v>
      </c>
    </row>
    <row r="1527" spans="1:4" x14ac:dyDescent="0.25">
      <c r="A1527" s="1">
        <v>44105</v>
      </c>
      <c r="B1527">
        <f>YEAR('base-pms_spbrasil'!E1527)</f>
        <v>2020</v>
      </c>
      <c r="C1527">
        <f>MONTH('base-pms_spbrasil'!E1527)</f>
        <v>10</v>
      </c>
      <c r="D1527" s="3" t="str">
        <f>UPPER(TEXT('base-pms_spbrasil'!E1527,"MMMM"))</f>
        <v>OUTUBRO</v>
      </c>
    </row>
    <row r="1528" spans="1:4" x14ac:dyDescent="0.25">
      <c r="A1528" s="1">
        <v>44136</v>
      </c>
      <c r="B1528">
        <f>YEAR('base-pms_spbrasil'!E1528)</f>
        <v>2020</v>
      </c>
      <c r="C1528">
        <f>MONTH('base-pms_spbrasil'!E1528)</f>
        <v>11</v>
      </c>
      <c r="D1528" s="3" t="str">
        <f>UPPER(TEXT('base-pms_spbrasil'!E1528,"MMMM"))</f>
        <v>NOVEMBRO</v>
      </c>
    </row>
    <row r="1529" spans="1:4" x14ac:dyDescent="0.25">
      <c r="A1529" s="1">
        <v>44166</v>
      </c>
      <c r="B1529">
        <f>YEAR('base-pms_spbrasil'!E1529)</f>
        <v>2020</v>
      </c>
      <c r="C1529">
        <f>MONTH('base-pms_spbrasil'!E1529)</f>
        <v>12</v>
      </c>
      <c r="D1529" s="3" t="str">
        <f>UPPER(TEXT('base-pms_spbrasil'!E1529,"MMMM"))</f>
        <v>DEZEMBRO</v>
      </c>
    </row>
    <row r="1530" spans="1:4" x14ac:dyDescent="0.25">
      <c r="A1530" s="1">
        <v>44197</v>
      </c>
      <c r="B1530">
        <f>YEAR('base-pms_spbrasil'!E1530)</f>
        <v>2021</v>
      </c>
      <c r="C1530">
        <f>MONTH('base-pms_spbrasil'!E1530)</f>
        <v>1</v>
      </c>
      <c r="D1530" s="3" t="str">
        <f>UPPER(TEXT('base-pms_spbrasil'!E1530,"MMMM"))</f>
        <v>JANEIRO</v>
      </c>
    </row>
    <row r="1531" spans="1:4" x14ac:dyDescent="0.25">
      <c r="A1531" s="1">
        <v>44228</v>
      </c>
      <c r="B1531">
        <f>YEAR('base-pms_spbrasil'!E1531)</f>
        <v>2021</v>
      </c>
      <c r="C1531">
        <f>MONTH('base-pms_spbrasil'!E1531)</f>
        <v>2</v>
      </c>
      <c r="D1531" s="3" t="str">
        <f>UPPER(TEXT('base-pms_spbrasil'!E1531,"MMMM"))</f>
        <v>FEVEREIRO</v>
      </c>
    </row>
    <row r="1532" spans="1:4" x14ac:dyDescent="0.25">
      <c r="A1532" s="1">
        <v>44256</v>
      </c>
      <c r="B1532">
        <f>YEAR('base-pms_spbrasil'!E1532)</f>
        <v>2021</v>
      </c>
      <c r="C1532">
        <f>MONTH('base-pms_spbrasil'!E1532)</f>
        <v>3</v>
      </c>
      <c r="D1532" s="3" t="str">
        <f>UPPER(TEXT('base-pms_spbrasil'!E1532,"MMMM"))</f>
        <v>MARÇO</v>
      </c>
    </row>
    <row r="1533" spans="1:4" x14ac:dyDescent="0.25">
      <c r="A1533" s="1">
        <v>44287</v>
      </c>
      <c r="B1533">
        <f>YEAR('base-pms_spbrasil'!E1533)</f>
        <v>2021</v>
      </c>
      <c r="C1533">
        <f>MONTH('base-pms_spbrasil'!E1533)</f>
        <v>4</v>
      </c>
      <c r="D1533" s="3" t="str">
        <f>UPPER(TEXT('base-pms_spbrasil'!E1533,"MMMM"))</f>
        <v>ABRIL</v>
      </c>
    </row>
    <row r="1534" spans="1:4" x14ac:dyDescent="0.25">
      <c r="A1534" s="1">
        <v>44317</v>
      </c>
      <c r="B1534">
        <f>YEAR('base-pms_spbrasil'!E1534)</f>
        <v>2021</v>
      </c>
      <c r="C1534">
        <f>MONTH('base-pms_spbrasil'!E1534)</f>
        <v>5</v>
      </c>
      <c r="D1534" s="3" t="str">
        <f>UPPER(TEXT('base-pms_spbrasil'!E1534,"MMMM"))</f>
        <v>MAIO</v>
      </c>
    </row>
    <row r="1535" spans="1:4" x14ac:dyDescent="0.25">
      <c r="A1535" s="1">
        <v>44348</v>
      </c>
      <c r="B1535">
        <f>YEAR('base-pms_spbrasil'!E1535)</f>
        <v>2021</v>
      </c>
      <c r="C1535">
        <f>MONTH('base-pms_spbrasil'!E1535)</f>
        <v>6</v>
      </c>
      <c r="D1535" s="3" t="str">
        <f>UPPER(TEXT('base-pms_spbrasil'!E1535,"MMMM"))</f>
        <v>JUNHO</v>
      </c>
    </row>
    <row r="1536" spans="1:4" x14ac:dyDescent="0.25">
      <c r="A1536" s="1">
        <v>44378</v>
      </c>
      <c r="B1536">
        <f>YEAR('base-pms_spbrasil'!E1536)</f>
        <v>2021</v>
      </c>
      <c r="C1536">
        <f>MONTH('base-pms_spbrasil'!E1536)</f>
        <v>7</v>
      </c>
      <c r="D1536" s="3" t="str">
        <f>UPPER(TEXT('base-pms_spbrasil'!E1536,"MMMM"))</f>
        <v>JULHO</v>
      </c>
    </row>
    <row r="1537" spans="1:4" x14ac:dyDescent="0.25">
      <c r="A1537" s="1">
        <v>44409</v>
      </c>
      <c r="B1537">
        <f>YEAR('base-pms_spbrasil'!E1537)</f>
        <v>2021</v>
      </c>
      <c r="C1537">
        <f>MONTH('base-pms_spbrasil'!E1537)</f>
        <v>8</v>
      </c>
      <c r="D1537" s="3" t="str">
        <f>UPPER(TEXT('base-pms_spbrasil'!E1537,"MMMM"))</f>
        <v>AGOSTO</v>
      </c>
    </row>
    <row r="1538" spans="1:4" x14ac:dyDescent="0.25">
      <c r="A1538" s="1">
        <v>44440</v>
      </c>
      <c r="B1538">
        <f>YEAR('base-pms_spbrasil'!E1538)</f>
        <v>2021</v>
      </c>
      <c r="C1538">
        <f>MONTH('base-pms_spbrasil'!E1538)</f>
        <v>9</v>
      </c>
      <c r="D1538" s="3" t="str">
        <f>UPPER(TEXT('base-pms_spbrasil'!E1538,"MMMM"))</f>
        <v>SETEMBRO</v>
      </c>
    </row>
    <row r="1539" spans="1:4" x14ac:dyDescent="0.25">
      <c r="A1539" s="1">
        <v>44470</v>
      </c>
      <c r="B1539">
        <f>YEAR('base-pms_spbrasil'!E1539)</f>
        <v>2021</v>
      </c>
      <c r="C1539">
        <f>MONTH('base-pms_spbrasil'!E1539)</f>
        <v>10</v>
      </c>
      <c r="D1539" s="3" t="str">
        <f>UPPER(TEXT('base-pms_spbrasil'!E1539,"MMMM"))</f>
        <v>OUTUBRO</v>
      </c>
    </row>
    <row r="1540" spans="1:4" x14ac:dyDescent="0.25">
      <c r="A1540" s="1">
        <v>44501</v>
      </c>
      <c r="B1540">
        <f>YEAR('base-pms_spbrasil'!E1540)</f>
        <v>2021</v>
      </c>
      <c r="C1540">
        <f>MONTH('base-pms_spbrasil'!E1540)</f>
        <v>11</v>
      </c>
      <c r="D1540" s="3" t="str">
        <f>UPPER(TEXT('base-pms_spbrasil'!E1540,"MMMM"))</f>
        <v>NOVEMBRO</v>
      </c>
    </row>
    <row r="1541" spans="1:4" x14ac:dyDescent="0.25">
      <c r="A1541" s="1">
        <v>44531</v>
      </c>
      <c r="B1541">
        <f>YEAR('base-pms_spbrasil'!E1541)</f>
        <v>2021</v>
      </c>
      <c r="C1541">
        <f>MONTH('base-pms_spbrasil'!E1541)</f>
        <v>12</v>
      </c>
      <c r="D1541" s="3" t="str">
        <f>UPPER(TEXT('base-pms_spbrasil'!E1541,"MMMM"))</f>
        <v>DEZEMBRO</v>
      </c>
    </row>
    <row r="1542" spans="1:4" x14ac:dyDescent="0.25">
      <c r="A1542" s="1">
        <v>44562</v>
      </c>
      <c r="B1542">
        <f>YEAR('base-pms_spbrasil'!E1542)</f>
        <v>2022</v>
      </c>
      <c r="C1542">
        <f>MONTH('base-pms_spbrasil'!E1542)</f>
        <v>1</v>
      </c>
      <c r="D1542" s="3" t="str">
        <f>UPPER(TEXT('base-pms_spbrasil'!E1542,"MMMM"))</f>
        <v>JANEIRO</v>
      </c>
    </row>
    <row r="1543" spans="1:4" x14ac:dyDescent="0.25">
      <c r="A1543" s="1">
        <v>44593</v>
      </c>
      <c r="B1543">
        <f>YEAR('base-pms_spbrasil'!E1543)</f>
        <v>2022</v>
      </c>
      <c r="C1543">
        <f>MONTH('base-pms_spbrasil'!E1543)</f>
        <v>2</v>
      </c>
      <c r="D1543" s="3" t="str">
        <f>UPPER(TEXT('base-pms_spbrasil'!E1543,"MMMM"))</f>
        <v>FEVEREIRO</v>
      </c>
    </row>
    <row r="1544" spans="1:4" x14ac:dyDescent="0.25">
      <c r="A1544" s="1">
        <v>44621</v>
      </c>
      <c r="B1544">
        <f>YEAR('base-pms_spbrasil'!E1544)</f>
        <v>2022</v>
      </c>
      <c r="C1544">
        <f>MONTH('base-pms_spbrasil'!E1544)</f>
        <v>3</v>
      </c>
      <c r="D1544" s="3" t="str">
        <f>UPPER(TEXT('base-pms_spbrasil'!E1544,"MMMM"))</f>
        <v>MARÇO</v>
      </c>
    </row>
    <row r="1545" spans="1:4" x14ac:dyDescent="0.25">
      <c r="A1545" s="1">
        <v>44652</v>
      </c>
      <c r="B1545">
        <f>YEAR('base-pms_spbrasil'!E1545)</f>
        <v>2022</v>
      </c>
      <c r="C1545">
        <f>MONTH('base-pms_spbrasil'!E1545)</f>
        <v>4</v>
      </c>
      <c r="D1545" s="3" t="str">
        <f>UPPER(TEXT('base-pms_spbrasil'!E1545,"MMMM"))</f>
        <v>ABRIL</v>
      </c>
    </row>
    <row r="1546" spans="1:4" x14ac:dyDescent="0.25">
      <c r="A1546" s="1">
        <v>44682</v>
      </c>
      <c r="B1546">
        <f>YEAR('base-pms_spbrasil'!E1546)</f>
        <v>2022</v>
      </c>
      <c r="C1546">
        <f>MONTH('base-pms_spbrasil'!E1546)</f>
        <v>5</v>
      </c>
      <c r="D1546" s="3" t="str">
        <f>UPPER(TEXT('base-pms_spbrasil'!E1546,"MMMM"))</f>
        <v>MAIO</v>
      </c>
    </row>
    <row r="1547" spans="1:4" x14ac:dyDescent="0.25">
      <c r="A1547" s="1">
        <v>44713</v>
      </c>
      <c r="B1547">
        <f>YEAR('base-pms_spbrasil'!E1547)</f>
        <v>2022</v>
      </c>
      <c r="C1547">
        <f>MONTH('base-pms_spbrasil'!E1547)</f>
        <v>6</v>
      </c>
      <c r="D1547" s="3" t="str">
        <f>UPPER(TEXT('base-pms_spbrasil'!E1547,"MMMM"))</f>
        <v>JUNHO</v>
      </c>
    </row>
    <row r="1548" spans="1:4" x14ac:dyDescent="0.25">
      <c r="A1548" s="1">
        <v>44743</v>
      </c>
      <c r="B1548">
        <f>YEAR('base-pms_spbrasil'!E1548)</f>
        <v>2022</v>
      </c>
      <c r="C1548">
        <f>MONTH('base-pms_spbrasil'!E1548)</f>
        <v>7</v>
      </c>
      <c r="D1548" s="3" t="str">
        <f>UPPER(TEXT('base-pms_spbrasil'!E1548,"MMMM"))</f>
        <v>JULHO</v>
      </c>
    </row>
    <row r="1549" spans="1:4" x14ac:dyDescent="0.25">
      <c r="A1549" s="1">
        <v>44774</v>
      </c>
      <c r="B1549">
        <f>YEAR('base-pms_spbrasil'!E1549)</f>
        <v>2022</v>
      </c>
      <c r="C1549">
        <f>MONTH('base-pms_spbrasil'!E1549)</f>
        <v>8</v>
      </c>
      <c r="D1549" s="3" t="str">
        <f>UPPER(TEXT('base-pms_spbrasil'!E1549,"MMMM"))</f>
        <v>AGOSTO</v>
      </c>
    </row>
    <row r="1550" spans="1:4" x14ac:dyDescent="0.25">
      <c r="A1550" s="1">
        <v>44805</v>
      </c>
      <c r="B1550">
        <f>YEAR('base-pms_spbrasil'!E1550)</f>
        <v>2022</v>
      </c>
      <c r="C1550">
        <f>MONTH('base-pms_spbrasil'!E1550)</f>
        <v>9</v>
      </c>
      <c r="D1550" s="3" t="str">
        <f>UPPER(TEXT('base-pms_spbrasil'!E1550,"MMMM"))</f>
        <v>SETEMBRO</v>
      </c>
    </row>
    <row r="1551" spans="1:4" x14ac:dyDescent="0.25">
      <c r="A1551" s="1">
        <v>44835</v>
      </c>
      <c r="B1551">
        <f>YEAR('base-pms_spbrasil'!E1551)</f>
        <v>2022</v>
      </c>
      <c r="C1551">
        <f>MONTH('base-pms_spbrasil'!E1551)</f>
        <v>10</v>
      </c>
      <c r="D1551" s="3" t="str">
        <f>UPPER(TEXT('base-pms_spbrasil'!E1551,"MMMM"))</f>
        <v>OUTUBRO</v>
      </c>
    </row>
    <row r="1552" spans="1:4" x14ac:dyDescent="0.25">
      <c r="A1552" s="1">
        <v>44866</v>
      </c>
      <c r="B1552">
        <f>YEAR('base-pms_spbrasil'!E1552)</f>
        <v>2022</v>
      </c>
      <c r="C1552">
        <f>MONTH('base-pms_spbrasil'!E1552)</f>
        <v>11</v>
      </c>
      <c r="D1552" s="3" t="str">
        <f>UPPER(TEXT('base-pms_spbrasil'!E1552,"MMMM"))</f>
        <v>NOVEMBRO</v>
      </c>
    </row>
    <row r="1553" spans="1:4" x14ac:dyDescent="0.25">
      <c r="A1553" s="1">
        <v>44896</v>
      </c>
      <c r="B1553">
        <f>YEAR('base-pms_spbrasil'!E1553)</f>
        <v>2022</v>
      </c>
      <c r="C1553">
        <f>MONTH('base-pms_spbrasil'!E1553)</f>
        <v>12</v>
      </c>
      <c r="D1553" s="3" t="str">
        <f>UPPER(TEXT('base-pms_spbrasil'!E1553,"MMMM"))</f>
        <v>DEZEMBRO</v>
      </c>
    </row>
    <row r="1554" spans="1:4" x14ac:dyDescent="0.25">
      <c r="A1554" s="1">
        <v>44927</v>
      </c>
      <c r="B1554">
        <f>YEAR('base-pms_spbrasil'!E1554)</f>
        <v>2023</v>
      </c>
      <c r="C1554">
        <f>MONTH('base-pms_spbrasil'!E1554)</f>
        <v>1</v>
      </c>
      <c r="D1554" s="3" t="str">
        <f>UPPER(TEXT('base-pms_spbrasil'!E1554,"MMMM"))</f>
        <v>JANEIRO</v>
      </c>
    </row>
    <row r="1555" spans="1:4" x14ac:dyDescent="0.25">
      <c r="A1555" s="1">
        <v>44958</v>
      </c>
      <c r="B1555">
        <f>YEAR('base-pms_spbrasil'!E1555)</f>
        <v>2023</v>
      </c>
      <c r="C1555">
        <f>MONTH('base-pms_spbrasil'!E1555)</f>
        <v>2</v>
      </c>
      <c r="D1555" s="3" t="str">
        <f>UPPER(TEXT('base-pms_spbrasil'!E1555,"MMMM"))</f>
        <v>FEVEREIRO</v>
      </c>
    </row>
    <row r="1556" spans="1:4" x14ac:dyDescent="0.25">
      <c r="A1556" s="1">
        <v>44986</v>
      </c>
      <c r="B1556">
        <f>YEAR('base-pms_spbrasil'!E1556)</f>
        <v>2023</v>
      </c>
      <c r="C1556">
        <f>MONTH('base-pms_spbrasil'!E1556)</f>
        <v>3</v>
      </c>
      <c r="D1556" s="3" t="str">
        <f>UPPER(TEXT('base-pms_spbrasil'!E1556,"MMMM"))</f>
        <v>MARÇO</v>
      </c>
    </row>
    <row r="1557" spans="1:4" x14ac:dyDescent="0.25">
      <c r="A1557" s="1">
        <v>45017</v>
      </c>
      <c r="B1557">
        <f>YEAR('base-pms_spbrasil'!E1557)</f>
        <v>2023</v>
      </c>
      <c r="C1557">
        <f>MONTH('base-pms_spbrasil'!E1557)</f>
        <v>4</v>
      </c>
      <c r="D1557" s="3" t="str">
        <f>UPPER(TEXT('base-pms_spbrasil'!E1557,"MMMM"))</f>
        <v>ABRIL</v>
      </c>
    </row>
    <row r="1558" spans="1:4" x14ac:dyDescent="0.25">
      <c r="A1558" s="1">
        <v>45047</v>
      </c>
      <c r="B1558">
        <f>YEAR('base-pms_spbrasil'!E1558)</f>
        <v>2023</v>
      </c>
      <c r="C1558">
        <f>MONTH('base-pms_spbrasil'!E1558)</f>
        <v>5</v>
      </c>
      <c r="D1558" s="3" t="str">
        <f>UPPER(TEXT('base-pms_spbrasil'!E1558,"MMMM"))</f>
        <v>MAIO</v>
      </c>
    </row>
    <row r="1559" spans="1:4" x14ac:dyDescent="0.25">
      <c r="A1559" s="1">
        <v>45078</v>
      </c>
      <c r="B1559">
        <f>YEAR('base-pms_spbrasil'!E1559)</f>
        <v>2023</v>
      </c>
      <c r="C1559">
        <f>MONTH('base-pms_spbrasil'!E1559)</f>
        <v>6</v>
      </c>
      <c r="D1559" s="3" t="str">
        <f>UPPER(TEXT('base-pms_spbrasil'!E1559,"MMMM"))</f>
        <v>JUNHO</v>
      </c>
    </row>
    <row r="1560" spans="1:4" x14ac:dyDescent="0.25">
      <c r="A1560" s="1">
        <v>45108</v>
      </c>
      <c r="B1560">
        <f>YEAR('base-pms_spbrasil'!E1560)</f>
        <v>2023</v>
      </c>
      <c r="C1560">
        <f>MONTH('base-pms_spbrasil'!E1560)</f>
        <v>7</v>
      </c>
      <c r="D1560" s="3" t="str">
        <f>UPPER(TEXT('base-pms_spbrasil'!E1560,"MMMM"))</f>
        <v>JULHO</v>
      </c>
    </row>
    <row r="1561" spans="1:4" x14ac:dyDescent="0.25">
      <c r="A1561" s="1">
        <v>45139</v>
      </c>
      <c r="B1561">
        <f>YEAR('base-pms_spbrasil'!E1561)</f>
        <v>2023</v>
      </c>
      <c r="C1561">
        <f>MONTH('base-pms_spbrasil'!E1561)</f>
        <v>8</v>
      </c>
      <c r="D1561" s="3" t="str">
        <f>UPPER(TEXT('base-pms_spbrasil'!E1561,"MMMM"))</f>
        <v>AGOSTO</v>
      </c>
    </row>
    <row r="1562" spans="1:4" x14ac:dyDescent="0.25">
      <c r="A1562" s="1">
        <v>45170</v>
      </c>
      <c r="B1562">
        <f>YEAR('base-pms_spbrasil'!E1562)</f>
        <v>2023</v>
      </c>
      <c r="C1562">
        <f>MONTH('base-pms_spbrasil'!E1562)</f>
        <v>9</v>
      </c>
      <c r="D1562" s="3" t="str">
        <f>UPPER(TEXT('base-pms_spbrasil'!E1562,"MMMM"))</f>
        <v>SETEMBRO</v>
      </c>
    </row>
    <row r="1563" spans="1:4" x14ac:dyDescent="0.25">
      <c r="A1563" s="1">
        <v>45200</v>
      </c>
      <c r="B1563">
        <f>YEAR('base-pms_spbrasil'!E1563)</f>
        <v>2023</v>
      </c>
      <c r="C1563">
        <f>MONTH('base-pms_spbrasil'!E1563)</f>
        <v>10</v>
      </c>
      <c r="D1563" s="3" t="str">
        <f>UPPER(TEXT('base-pms_spbrasil'!E1563,"MMMM"))</f>
        <v>OUTUBRO</v>
      </c>
    </row>
    <row r="1564" spans="1:4" x14ac:dyDescent="0.25">
      <c r="A1564" s="1">
        <v>45231</v>
      </c>
      <c r="B1564">
        <f>YEAR('base-pms_spbrasil'!E1564)</f>
        <v>2023</v>
      </c>
      <c r="C1564">
        <f>MONTH('base-pms_spbrasil'!E1564)</f>
        <v>11</v>
      </c>
      <c r="D1564" s="3" t="str">
        <f>UPPER(TEXT('base-pms_spbrasil'!E1564,"MMMM"))</f>
        <v>NOVEMBRO</v>
      </c>
    </row>
    <row r="1565" spans="1:4" x14ac:dyDescent="0.25">
      <c r="A1565" s="1">
        <v>45261</v>
      </c>
      <c r="B1565">
        <f>YEAR('base-pms_spbrasil'!E1565)</f>
        <v>2023</v>
      </c>
      <c r="C1565">
        <f>MONTH('base-pms_spbrasil'!E1565)</f>
        <v>12</v>
      </c>
      <c r="D1565" s="3" t="str">
        <f>UPPER(TEXT('base-pms_spbrasil'!E1565,"MMMM"))</f>
        <v>DEZEMBRO</v>
      </c>
    </row>
    <row r="1566" spans="1:4" x14ac:dyDescent="0.25">
      <c r="A1566" s="1">
        <v>45292</v>
      </c>
      <c r="B1566">
        <f>YEAR('base-pms_spbrasil'!E1566)</f>
        <v>2024</v>
      </c>
      <c r="C1566">
        <f>MONTH('base-pms_spbrasil'!E1566)</f>
        <v>1</v>
      </c>
      <c r="D1566" s="3" t="str">
        <f>UPPER(TEXT('base-pms_spbrasil'!E1566,"MMMM"))</f>
        <v>JANEIRO</v>
      </c>
    </row>
    <row r="1567" spans="1:4" x14ac:dyDescent="0.25">
      <c r="A1567" s="1">
        <v>45323</v>
      </c>
      <c r="B1567">
        <f>YEAR('base-pms_spbrasil'!E1567)</f>
        <v>2024</v>
      </c>
      <c r="C1567">
        <f>MONTH('base-pms_spbrasil'!E1567)</f>
        <v>2</v>
      </c>
      <c r="D1567" s="3" t="str">
        <f>UPPER(TEXT('base-pms_spbrasil'!E1567,"MMMM"))</f>
        <v>FEVEREIRO</v>
      </c>
    </row>
    <row r="1568" spans="1:4" x14ac:dyDescent="0.25">
      <c r="A1568" s="1">
        <v>45352</v>
      </c>
      <c r="B1568">
        <f>YEAR('base-pms_spbrasil'!E1568)</f>
        <v>2024</v>
      </c>
      <c r="C1568">
        <f>MONTH('base-pms_spbrasil'!E1568)</f>
        <v>3</v>
      </c>
      <c r="D1568" s="3" t="str">
        <f>UPPER(TEXT('base-pms_spbrasil'!E1568,"MMMM"))</f>
        <v>MARÇO</v>
      </c>
    </row>
    <row r="1569" spans="1:4" x14ac:dyDescent="0.25">
      <c r="A1569" s="1">
        <v>45383</v>
      </c>
      <c r="B1569">
        <f>YEAR('base-pms_spbrasil'!E1569)</f>
        <v>2024</v>
      </c>
      <c r="C1569">
        <f>MONTH('base-pms_spbrasil'!E1569)</f>
        <v>4</v>
      </c>
      <c r="D1569" s="3" t="str">
        <f>UPPER(TEXT('base-pms_spbrasil'!E1569,"MMMM"))</f>
        <v>ABRIL</v>
      </c>
    </row>
    <row r="1570" spans="1:4" x14ac:dyDescent="0.25">
      <c r="A1570" s="1">
        <v>45413</v>
      </c>
      <c r="B1570">
        <f>YEAR('base-pms_spbrasil'!E1570)</f>
        <v>2024</v>
      </c>
      <c r="C1570">
        <f>MONTH('base-pms_spbrasil'!E1570)</f>
        <v>5</v>
      </c>
      <c r="D1570" s="3" t="str">
        <f>UPPER(TEXT('base-pms_spbrasil'!E1570,"MMMM"))</f>
        <v>MAIO</v>
      </c>
    </row>
    <row r="1571" spans="1:4" x14ac:dyDescent="0.25">
      <c r="A1571" s="1">
        <v>45444</v>
      </c>
      <c r="B1571">
        <f>YEAR('base-pms_spbrasil'!E1571)</f>
        <v>2024</v>
      </c>
      <c r="C1571">
        <f>MONTH('base-pms_spbrasil'!E1571)</f>
        <v>6</v>
      </c>
      <c r="D1571" s="3" t="str">
        <f>UPPER(TEXT('base-pms_spbrasil'!E1571,"MMMM"))</f>
        <v>JUNHO</v>
      </c>
    </row>
    <row r="1572" spans="1:4" x14ac:dyDescent="0.25">
      <c r="A1572" s="1">
        <v>45474</v>
      </c>
      <c r="B1572">
        <f>YEAR('base-pms_spbrasil'!E1572)</f>
        <v>2024</v>
      </c>
      <c r="C1572">
        <f>MONTH('base-pms_spbrasil'!E1572)</f>
        <v>7</v>
      </c>
      <c r="D1572" s="3" t="str">
        <f>UPPER(TEXT('base-pms_spbrasil'!E1572,"MMMM"))</f>
        <v>JULHO</v>
      </c>
    </row>
    <row r="1573" spans="1:4" x14ac:dyDescent="0.25">
      <c r="A1573" s="1">
        <v>45505</v>
      </c>
      <c r="B1573">
        <f>YEAR('base-pms_spbrasil'!E1573)</f>
        <v>2024</v>
      </c>
      <c r="C1573">
        <f>MONTH('base-pms_spbrasil'!E1573)</f>
        <v>8</v>
      </c>
      <c r="D1573" s="3" t="str">
        <f>UPPER(TEXT('base-pms_spbrasil'!E1573,"MMMM"))</f>
        <v>AGOSTO</v>
      </c>
    </row>
    <row r="1574" spans="1:4" x14ac:dyDescent="0.25">
      <c r="A1574" s="1">
        <v>45536</v>
      </c>
      <c r="B1574">
        <f>YEAR('base-pms_spbrasil'!E1574)</f>
        <v>2024</v>
      </c>
      <c r="C1574">
        <f>MONTH('base-pms_spbrasil'!E1574)</f>
        <v>9</v>
      </c>
      <c r="D1574" s="3" t="str">
        <f>UPPER(TEXT('base-pms_spbrasil'!E1574,"MMMM"))</f>
        <v>SETEMBRO</v>
      </c>
    </row>
    <row r="1575" spans="1:4" x14ac:dyDescent="0.25">
      <c r="A1575" s="1">
        <v>45566</v>
      </c>
      <c r="B1575">
        <f>YEAR('base-pms_spbrasil'!E1575)</f>
        <v>2024</v>
      </c>
      <c r="C1575">
        <f>MONTH('base-pms_spbrasil'!E1575)</f>
        <v>10</v>
      </c>
      <c r="D1575" s="3" t="str">
        <f>UPPER(TEXT('base-pms_spbrasil'!E1575,"MMMM"))</f>
        <v>OUTUBRO</v>
      </c>
    </row>
    <row r="1576" spans="1:4" x14ac:dyDescent="0.25">
      <c r="A1576" s="1">
        <v>45597</v>
      </c>
      <c r="B1576">
        <f>YEAR('base-pms_spbrasil'!E1576)</f>
        <v>2024</v>
      </c>
      <c r="C1576">
        <f>MONTH('base-pms_spbrasil'!E1576)</f>
        <v>11</v>
      </c>
      <c r="D1576" s="3" t="str">
        <f>UPPER(TEXT('base-pms_spbrasil'!E1576,"MMMM"))</f>
        <v>NOVEMBRO</v>
      </c>
    </row>
    <row r="1577" spans="1:4" x14ac:dyDescent="0.25">
      <c r="A1577" s="1">
        <v>45627</v>
      </c>
      <c r="B1577">
        <f>YEAR('base-pms_spbrasil'!E1577)</f>
        <v>2024</v>
      </c>
      <c r="C1577">
        <f>MONTH('base-pms_spbrasil'!E1577)</f>
        <v>12</v>
      </c>
      <c r="D1577" s="3" t="str">
        <f>UPPER(TEXT('base-pms_spbrasil'!E1577,"MMMM"))</f>
        <v>DEZEMBRO</v>
      </c>
    </row>
    <row r="1578" spans="1:4" x14ac:dyDescent="0.25">
      <c r="A1578" s="1">
        <v>45658</v>
      </c>
      <c r="B1578">
        <f>YEAR('base-pms_spbrasil'!E1578)</f>
        <v>2025</v>
      </c>
      <c r="C1578">
        <f>MONTH('base-pms_spbrasil'!E1578)</f>
        <v>1</v>
      </c>
      <c r="D1578" s="3" t="str">
        <f>UPPER(TEXT('base-pms_spbrasil'!E1578,"MMMM"))</f>
        <v>JANEIRO</v>
      </c>
    </row>
    <row r="1579" spans="1:4" x14ac:dyDescent="0.25">
      <c r="A1579" s="1">
        <v>45689</v>
      </c>
      <c r="B1579">
        <f>YEAR('base-pms_spbrasil'!E1579)</f>
        <v>2025</v>
      </c>
      <c r="C1579">
        <f>MONTH('base-pms_spbrasil'!E1579)</f>
        <v>2</v>
      </c>
      <c r="D1579" s="3" t="str">
        <f>UPPER(TEXT('base-pms_spbrasil'!E1579,"MMMM"))</f>
        <v>FEVEREIRO</v>
      </c>
    </row>
    <row r="1580" spans="1:4" x14ac:dyDescent="0.25">
      <c r="A1580" s="1">
        <v>45717</v>
      </c>
      <c r="B1580">
        <f>YEAR('base-pms_spbrasil'!E1580)</f>
        <v>2025</v>
      </c>
      <c r="C1580">
        <f>MONTH('base-pms_spbrasil'!E1580)</f>
        <v>3</v>
      </c>
      <c r="D1580" s="3" t="str">
        <f>UPPER(TEXT('base-pms_spbrasil'!E1580,"MMMM"))</f>
        <v>MARÇO</v>
      </c>
    </row>
    <row r="1581" spans="1:4" x14ac:dyDescent="0.25">
      <c r="A1581" s="1">
        <v>45748</v>
      </c>
      <c r="B1581">
        <f>YEAR('base-pms_spbrasil'!E1581)</f>
        <v>2025</v>
      </c>
      <c r="C1581">
        <f>MONTH('base-pms_spbrasil'!E1581)</f>
        <v>4</v>
      </c>
      <c r="D1581" s="3" t="str">
        <f>UPPER(TEXT('base-pms_spbrasil'!E1581,"MMMM"))</f>
        <v>ABRIL</v>
      </c>
    </row>
    <row r="1582" spans="1:4" x14ac:dyDescent="0.25">
      <c r="A1582" s="1">
        <v>45778</v>
      </c>
      <c r="B1582">
        <f>YEAR('base-pms_spbrasil'!E1582)</f>
        <v>2025</v>
      </c>
      <c r="C1582">
        <f>MONTH('base-pms_spbrasil'!E1582)</f>
        <v>5</v>
      </c>
      <c r="D1582" s="3" t="str">
        <f>UPPER(TEXT('base-pms_spbrasil'!E1582,"MMMM"))</f>
        <v>MAIO</v>
      </c>
    </row>
    <row r="1583" spans="1:4" x14ac:dyDescent="0.25">
      <c r="A1583" s="1">
        <v>45809</v>
      </c>
      <c r="B1583">
        <f>YEAR('base-pms_spbrasil'!E1583)</f>
        <v>2025</v>
      </c>
      <c r="C1583">
        <f>MONTH('base-pms_spbrasil'!E1583)</f>
        <v>6</v>
      </c>
      <c r="D1583" s="3" t="str">
        <f>UPPER(TEXT('base-pms_spbrasil'!E1583,"MMMM"))</f>
        <v>JUNHO</v>
      </c>
    </row>
    <row r="1584" spans="1:4" x14ac:dyDescent="0.25">
      <c r="A1584" s="1">
        <v>45839</v>
      </c>
      <c r="B1584">
        <f>YEAR('base-pms_spbrasil'!E1584)</f>
        <v>2025</v>
      </c>
      <c r="C1584">
        <f>MONTH('base-pms_spbrasil'!E1584)</f>
        <v>7</v>
      </c>
      <c r="D1584" s="3" t="str">
        <f>UPPER(TEXT('base-pms_spbrasil'!E1584,"MMMM"))</f>
        <v>JULHO</v>
      </c>
    </row>
    <row r="1585" spans="1:4" x14ac:dyDescent="0.25">
      <c r="A1585" s="1">
        <v>45870</v>
      </c>
      <c r="B1585">
        <f>YEAR('base-pms_spbrasil'!E1585)</f>
        <v>2025</v>
      </c>
      <c r="C1585">
        <f>MONTH('base-pms_spbrasil'!E1585)</f>
        <v>8</v>
      </c>
      <c r="D1585" s="3" t="str">
        <f>UPPER(TEXT('base-pms_spbrasil'!E1585,"MMMM"))</f>
        <v>AGOSTO</v>
      </c>
    </row>
    <row r="1586" spans="1:4" x14ac:dyDescent="0.25">
      <c r="A1586" s="1">
        <v>40544</v>
      </c>
      <c r="B1586">
        <f>YEAR('base-pms_spbrasil'!E1586)</f>
        <v>2011</v>
      </c>
      <c r="C1586">
        <f>MONTH('base-pms_spbrasil'!E1586)</f>
        <v>1</v>
      </c>
      <c r="D1586" s="3" t="str">
        <f>UPPER(TEXT('base-pms_spbrasil'!E1586,"MMMM"))</f>
        <v>JANEIRO</v>
      </c>
    </row>
    <row r="1587" spans="1:4" x14ac:dyDescent="0.25">
      <c r="A1587" s="1">
        <v>40575</v>
      </c>
      <c r="B1587">
        <f>YEAR('base-pms_spbrasil'!E1587)</f>
        <v>2011</v>
      </c>
      <c r="C1587">
        <f>MONTH('base-pms_spbrasil'!E1587)</f>
        <v>2</v>
      </c>
      <c r="D1587" s="3" t="str">
        <f>UPPER(TEXT('base-pms_spbrasil'!E1587,"MMMM"))</f>
        <v>FEVEREIRO</v>
      </c>
    </row>
    <row r="1588" spans="1:4" x14ac:dyDescent="0.25">
      <c r="A1588" s="1">
        <v>40603</v>
      </c>
      <c r="B1588">
        <f>YEAR('base-pms_spbrasil'!E1588)</f>
        <v>2011</v>
      </c>
      <c r="C1588">
        <f>MONTH('base-pms_spbrasil'!E1588)</f>
        <v>3</v>
      </c>
      <c r="D1588" s="3" t="str">
        <f>UPPER(TEXT('base-pms_spbrasil'!E1588,"MMMM"))</f>
        <v>MARÇO</v>
      </c>
    </row>
    <row r="1589" spans="1:4" x14ac:dyDescent="0.25">
      <c r="A1589" s="1">
        <v>40634</v>
      </c>
      <c r="B1589">
        <f>YEAR('base-pms_spbrasil'!E1589)</f>
        <v>2011</v>
      </c>
      <c r="C1589">
        <f>MONTH('base-pms_spbrasil'!E1589)</f>
        <v>4</v>
      </c>
      <c r="D1589" s="3" t="str">
        <f>UPPER(TEXT('base-pms_spbrasil'!E1589,"MMMM"))</f>
        <v>ABRIL</v>
      </c>
    </row>
    <row r="1590" spans="1:4" x14ac:dyDescent="0.25">
      <c r="A1590" s="1">
        <v>40664</v>
      </c>
      <c r="B1590">
        <f>YEAR('base-pms_spbrasil'!E1590)</f>
        <v>2011</v>
      </c>
      <c r="C1590">
        <f>MONTH('base-pms_spbrasil'!E1590)</f>
        <v>5</v>
      </c>
      <c r="D1590" s="3" t="str">
        <f>UPPER(TEXT('base-pms_spbrasil'!E1590,"MMMM"))</f>
        <v>MAIO</v>
      </c>
    </row>
    <row r="1591" spans="1:4" x14ac:dyDescent="0.25">
      <c r="A1591" s="1">
        <v>40695</v>
      </c>
      <c r="B1591">
        <f>YEAR('base-pms_spbrasil'!E1591)</f>
        <v>2011</v>
      </c>
      <c r="C1591">
        <f>MONTH('base-pms_spbrasil'!E1591)</f>
        <v>6</v>
      </c>
      <c r="D1591" s="3" t="str">
        <f>UPPER(TEXT('base-pms_spbrasil'!E1591,"MMMM"))</f>
        <v>JUNHO</v>
      </c>
    </row>
    <row r="1592" spans="1:4" x14ac:dyDescent="0.25">
      <c r="A1592" s="1">
        <v>40725</v>
      </c>
      <c r="B1592">
        <f>YEAR('base-pms_spbrasil'!E1592)</f>
        <v>2011</v>
      </c>
      <c r="C1592">
        <f>MONTH('base-pms_spbrasil'!E1592)</f>
        <v>7</v>
      </c>
      <c r="D1592" s="3" t="str">
        <f>UPPER(TEXT('base-pms_spbrasil'!E1592,"MMMM"))</f>
        <v>JULHO</v>
      </c>
    </row>
    <row r="1593" spans="1:4" x14ac:dyDescent="0.25">
      <c r="A1593" s="1">
        <v>40756</v>
      </c>
      <c r="B1593">
        <f>YEAR('base-pms_spbrasil'!E1593)</f>
        <v>2011</v>
      </c>
      <c r="C1593">
        <f>MONTH('base-pms_spbrasil'!E1593)</f>
        <v>8</v>
      </c>
      <c r="D1593" s="3" t="str">
        <f>UPPER(TEXT('base-pms_spbrasil'!E1593,"MMMM"))</f>
        <v>AGOSTO</v>
      </c>
    </row>
    <row r="1594" spans="1:4" x14ac:dyDescent="0.25">
      <c r="A1594" s="1">
        <v>40787</v>
      </c>
      <c r="B1594">
        <f>YEAR('base-pms_spbrasil'!E1594)</f>
        <v>2011</v>
      </c>
      <c r="C1594">
        <f>MONTH('base-pms_spbrasil'!E1594)</f>
        <v>9</v>
      </c>
      <c r="D1594" s="3" t="str">
        <f>UPPER(TEXT('base-pms_spbrasil'!E1594,"MMMM"))</f>
        <v>SETEMBRO</v>
      </c>
    </row>
    <row r="1595" spans="1:4" x14ac:dyDescent="0.25">
      <c r="A1595" s="1">
        <v>40817</v>
      </c>
      <c r="B1595">
        <f>YEAR('base-pms_spbrasil'!E1595)</f>
        <v>2011</v>
      </c>
      <c r="C1595">
        <f>MONTH('base-pms_spbrasil'!E1595)</f>
        <v>10</v>
      </c>
      <c r="D1595" s="3" t="str">
        <f>UPPER(TEXT('base-pms_spbrasil'!E1595,"MMMM"))</f>
        <v>OUTUBRO</v>
      </c>
    </row>
    <row r="1596" spans="1:4" x14ac:dyDescent="0.25">
      <c r="A1596" s="1">
        <v>40848</v>
      </c>
      <c r="B1596">
        <f>YEAR('base-pms_spbrasil'!E1596)</f>
        <v>2011</v>
      </c>
      <c r="C1596">
        <f>MONTH('base-pms_spbrasil'!E1596)</f>
        <v>11</v>
      </c>
      <c r="D1596" s="3" t="str">
        <f>UPPER(TEXT('base-pms_spbrasil'!E1596,"MMMM"))</f>
        <v>NOVEMBRO</v>
      </c>
    </row>
    <row r="1597" spans="1:4" x14ac:dyDescent="0.25">
      <c r="A1597" s="1">
        <v>40878</v>
      </c>
      <c r="B1597">
        <f>YEAR('base-pms_spbrasil'!E1597)</f>
        <v>2011</v>
      </c>
      <c r="C1597">
        <f>MONTH('base-pms_spbrasil'!E1597)</f>
        <v>12</v>
      </c>
      <c r="D1597" s="3" t="str">
        <f>UPPER(TEXT('base-pms_spbrasil'!E1597,"MMMM"))</f>
        <v>DEZEMBRO</v>
      </c>
    </row>
    <row r="1598" spans="1:4" x14ac:dyDescent="0.25">
      <c r="A1598" s="1">
        <v>40909</v>
      </c>
      <c r="B1598">
        <f>YEAR('base-pms_spbrasil'!E1598)</f>
        <v>2012</v>
      </c>
      <c r="C1598">
        <f>MONTH('base-pms_spbrasil'!E1598)</f>
        <v>1</v>
      </c>
      <c r="D1598" s="3" t="str">
        <f>UPPER(TEXT('base-pms_spbrasil'!E1598,"MMMM"))</f>
        <v>JANEIRO</v>
      </c>
    </row>
    <row r="1599" spans="1:4" x14ac:dyDescent="0.25">
      <c r="A1599" s="1">
        <v>40940</v>
      </c>
      <c r="B1599">
        <f>YEAR('base-pms_spbrasil'!E1599)</f>
        <v>2012</v>
      </c>
      <c r="C1599">
        <f>MONTH('base-pms_spbrasil'!E1599)</f>
        <v>2</v>
      </c>
      <c r="D1599" s="3" t="str">
        <f>UPPER(TEXT('base-pms_spbrasil'!E1599,"MMMM"))</f>
        <v>FEVEREIRO</v>
      </c>
    </row>
    <row r="1600" spans="1:4" x14ac:dyDescent="0.25">
      <c r="A1600" s="1">
        <v>40969</v>
      </c>
      <c r="B1600">
        <f>YEAR('base-pms_spbrasil'!E1600)</f>
        <v>2012</v>
      </c>
      <c r="C1600">
        <f>MONTH('base-pms_spbrasil'!E1600)</f>
        <v>3</v>
      </c>
      <c r="D1600" s="3" t="str">
        <f>UPPER(TEXT('base-pms_spbrasil'!E1600,"MMMM"))</f>
        <v>MARÇO</v>
      </c>
    </row>
    <row r="1601" spans="1:4" x14ac:dyDescent="0.25">
      <c r="A1601" s="1">
        <v>41000</v>
      </c>
      <c r="B1601">
        <f>YEAR('base-pms_spbrasil'!E1601)</f>
        <v>2012</v>
      </c>
      <c r="C1601">
        <f>MONTH('base-pms_spbrasil'!E1601)</f>
        <v>4</v>
      </c>
      <c r="D1601" s="3" t="str">
        <f>UPPER(TEXT('base-pms_spbrasil'!E1601,"MMMM"))</f>
        <v>ABRIL</v>
      </c>
    </row>
    <row r="1602" spans="1:4" x14ac:dyDescent="0.25">
      <c r="A1602" s="1">
        <v>41030</v>
      </c>
      <c r="B1602">
        <f>YEAR('base-pms_spbrasil'!E1602)</f>
        <v>2012</v>
      </c>
      <c r="C1602">
        <f>MONTH('base-pms_spbrasil'!E1602)</f>
        <v>5</v>
      </c>
      <c r="D1602" s="3" t="str">
        <f>UPPER(TEXT('base-pms_spbrasil'!E1602,"MMMM"))</f>
        <v>MAIO</v>
      </c>
    </row>
    <row r="1603" spans="1:4" x14ac:dyDescent="0.25">
      <c r="A1603" s="1">
        <v>41061</v>
      </c>
      <c r="B1603">
        <f>YEAR('base-pms_spbrasil'!E1603)</f>
        <v>2012</v>
      </c>
      <c r="C1603">
        <f>MONTH('base-pms_spbrasil'!E1603)</f>
        <v>6</v>
      </c>
      <c r="D1603" s="3" t="str">
        <f>UPPER(TEXT('base-pms_spbrasil'!E1603,"MMMM"))</f>
        <v>JUNHO</v>
      </c>
    </row>
    <row r="1604" spans="1:4" x14ac:dyDescent="0.25">
      <c r="A1604" s="1">
        <v>41091</v>
      </c>
      <c r="B1604">
        <f>YEAR('base-pms_spbrasil'!E1604)</f>
        <v>2012</v>
      </c>
      <c r="C1604">
        <f>MONTH('base-pms_spbrasil'!E1604)</f>
        <v>7</v>
      </c>
      <c r="D1604" s="3" t="str">
        <f>UPPER(TEXT('base-pms_spbrasil'!E1604,"MMMM"))</f>
        <v>JULHO</v>
      </c>
    </row>
    <row r="1605" spans="1:4" x14ac:dyDescent="0.25">
      <c r="A1605" s="1">
        <v>41122</v>
      </c>
      <c r="B1605">
        <f>YEAR('base-pms_spbrasil'!E1605)</f>
        <v>2012</v>
      </c>
      <c r="C1605">
        <f>MONTH('base-pms_spbrasil'!E1605)</f>
        <v>8</v>
      </c>
      <c r="D1605" s="3" t="str">
        <f>UPPER(TEXT('base-pms_spbrasil'!E1605,"MMMM"))</f>
        <v>AGOSTO</v>
      </c>
    </row>
    <row r="1606" spans="1:4" x14ac:dyDescent="0.25">
      <c r="A1606" s="1">
        <v>41153</v>
      </c>
      <c r="B1606">
        <f>YEAR('base-pms_spbrasil'!E1606)</f>
        <v>2012</v>
      </c>
      <c r="C1606">
        <f>MONTH('base-pms_spbrasil'!E1606)</f>
        <v>9</v>
      </c>
      <c r="D1606" s="3" t="str">
        <f>UPPER(TEXT('base-pms_spbrasil'!E1606,"MMMM"))</f>
        <v>SETEMBRO</v>
      </c>
    </row>
    <row r="1607" spans="1:4" x14ac:dyDescent="0.25">
      <c r="A1607" s="1">
        <v>41183</v>
      </c>
      <c r="B1607">
        <f>YEAR('base-pms_spbrasil'!E1607)</f>
        <v>2012</v>
      </c>
      <c r="C1607">
        <f>MONTH('base-pms_spbrasil'!E1607)</f>
        <v>10</v>
      </c>
      <c r="D1607" s="3" t="str">
        <f>UPPER(TEXT('base-pms_spbrasil'!E1607,"MMMM"))</f>
        <v>OUTUBRO</v>
      </c>
    </row>
    <row r="1608" spans="1:4" x14ac:dyDescent="0.25">
      <c r="A1608" s="1">
        <v>41214</v>
      </c>
      <c r="B1608">
        <f>YEAR('base-pms_spbrasil'!E1608)</f>
        <v>2012</v>
      </c>
      <c r="C1608">
        <f>MONTH('base-pms_spbrasil'!E1608)</f>
        <v>11</v>
      </c>
      <c r="D1608" s="3" t="str">
        <f>UPPER(TEXT('base-pms_spbrasil'!E1608,"MMMM"))</f>
        <v>NOVEMBRO</v>
      </c>
    </row>
    <row r="1609" spans="1:4" x14ac:dyDescent="0.25">
      <c r="A1609" s="1">
        <v>41244</v>
      </c>
      <c r="B1609">
        <f>YEAR('base-pms_spbrasil'!E1609)</f>
        <v>2012</v>
      </c>
      <c r="C1609">
        <f>MONTH('base-pms_spbrasil'!E1609)</f>
        <v>12</v>
      </c>
      <c r="D1609" s="3" t="str">
        <f>UPPER(TEXT('base-pms_spbrasil'!E1609,"MMMM"))</f>
        <v>DEZEMBRO</v>
      </c>
    </row>
    <row r="1610" spans="1:4" x14ac:dyDescent="0.25">
      <c r="A1610" s="1">
        <v>41275</v>
      </c>
      <c r="B1610">
        <f>YEAR('base-pms_spbrasil'!E1610)</f>
        <v>2013</v>
      </c>
      <c r="C1610">
        <f>MONTH('base-pms_spbrasil'!E1610)</f>
        <v>1</v>
      </c>
      <c r="D1610" s="3" t="str">
        <f>UPPER(TEXT('base-pms_spbrasil'!E1610,"MMMM"))</f>
        <v>JANEIRO</v>
      </c>
    </row>
    <row r="1611" spans="1:4" x14ac:dyDescent="0.25">
      <c r="A1611" s="1">
        <v>41306</v>
      </c>
      <c r="B1611">
        <f>YEAR('base-pms_spbrasil'!E1611)</f>
        <v>2013</v>
      </c>
      <c r="C1611">
        <f>MONTH('base-pms_spbrasil'!E1611)</f>
        <v>2</v>
      </c>
      <c r="D1611" s="3" t="str">
        <f>UPPER(TEXT('base-pms_spbrasil'!E1611,"MMMM"))</f>
        <v>FEVEREIRO</v>
      </c>
    </row>
    <row r="1612" spans="1:4" x14ac:dyDescent="0.25">
      <c r="A1612" s="1">
        <v>41334</v>
      </c>
      <c r="B1612">
        <f>YEAR('base-pms_spbrasil'!E1612)</f>
        <v>2013</v>
      </c>
      <c r="C1612">
        <f>MONTH('base-pms_spbrasil'!E1612)</f>
        <v>3</v>
      </c>
      <c r="D1612" s="3" t="str">
        <f>UPPER(TEXT('base-pms_spbrasil'!E1612,"MMMM"))</f>
        <v>MARÇO</v>
      </c>
    </row>
    <row r="1613" spans="1:4" x14ac:dyDescent="0.25">
      <c r="A1613" s="1">
        <v>41365</v>
      </c>
      <c r="B1613">
        <f>YEAR('base-pms_spbrasil'!E1613)</f>
        <v>2013</v>
      </c>
      <c r="C1613">
        <f>MONTH('base-pms_spbrasil'!E1613)</f>
        <v>4</v>
      </c>
      <c r="D1613" s="3" t="str">
        <f>UPPER(TEXT('base-pms_spbrasil'!E1613,"MMMM"))</f>
        <v>ABRIL</v>
      </c>
    </row>
    <row r="1614" spans="1:4" x14ac:dyDescent="0.25">
      <c r="A1614" s="1">
        <v>41395</v>
      </c>
      <c r="B1614">
        <f>YEAR('base-pms_spbrasil'!E1614)</f>
        <v>2013</v>
      </c>
      <c r="C1614">
        <f>MONTH('base-pms_spbrasil'!E1614)</f>
        <v>5</v>
      </c>
      <c r="D1614" s="3" t="str">
        <f>UPPER(TEXT('base-pms_spbrasil'!E1614,"MMMM"))</f>
        <v>MAIO</v>
      </c>
    </row>
    <row r="1615" spans="1:4" x14ac:dyDescent="0.25">
      <c r="A1615" s="1">
        <v>41426</v>
      </c>
      <c r="B1615">
        <f>YEAR('base-pms_spbrasil'!E1615)</f>
        <v>2013</v>
      </c>
      <c r="C1615">
        <f>MONTH('base-pms_spbrasil'!E1615)</f>
        <v>6</v>
      </c>
      <c r="D1615" s="3" t="str">
        <f>UPPER(TEXT('base-pms_spbrasil'!E1615,"MMMM"))</f>
        <v>JUNHO</v>
      </c>
    </row>
    <row r="1616" spans="1:4" x14ac:dyDescent="0.25">
      <c r="A1616" s="1">
        <v>41456</v>
      </c>
      <c r="B1616">
        <f>YEAR('base-pms_spbrasil'!E1616)</f>
        <v>2013</v>
      </c>
      <c r="C1616">
        <f>MONTH('base-pms_spbrasil'!E1616)</f>
        <v>7</v>
      </c>
      <c r="D1616" s="3" t="str">
        <f>UPPER(TEXT('base-pms_spbrasil'!E1616,"MMMM"))</f>
        <v>JULHO</v>
      </c>
    </row>
    <row r="1617" spans="1:4" x14ac:dyDescent="0.25">
      <c r="A1617" s="1">
        <v>41487</v>
      </c>
      <c r="B1617">
        <f>YEAR('base-pms_spbrasil'!E1617)</f>
        <v>2013</v>
      </c>
      <c r="C1617">
        <f>MONTH('base-pms_spbrasil'!E1617)</f>
        <v>8</v>
      </c>
      <c r="D1617" s="3" t="str">
        <f>UPPER(TEXT('base-pms_spbrasil'!E1617,"MMMM"))</f>
        <v>AGOSTO</v>
      </c>
    </row>
    <row r="1618" spans="1:4" x14ac:dyDescent="0.25">
      <c r="A1618" s="1">
        <v>41518</v>
      </c>
      <c r="B1618">
        <f>YEAR('base-pms_spbrasil'!E1618)</f>
        <v>2013</v>
      </c>
      <c r="C1618">
        <f>MONTH('base-pms_spbrasil'!E1618)</f>
        <v>9</v>
      </c>
      <c r="D1618" s="3" t="str">
        <f>UPPER(TEXT('base-pms_spbrasil'!E1618,"MMMM"))</f>
        <v>SETEMBRO</v>
      </c>
    </row>
    <row r="1619" spans="1:4" x14ac:dyDescent="0.25">
      <c r="A1619" s="1">
        <v>41548</v>
      </c>
      <c r="B1619">
        <f>YEAR('base-pms_spbrasil'!E1619)</f>
        <v>2013</v>
      </c>
      <c r="C1619">
        <f>MONTH('base-pms_spbrasil'!E1619)</f>
        <v>10</v>
      </c>
      <c r="D1619" s="3" t="str">
        <f>UPPER(TEXT('base-pms_spbrasil'!E1619,"MMMM"))</f>
        <v>OUTUBRO</v>
      </c>
    </row>
    <row r="1620" spans="1:4" x14ac:dyDescent="0.25">
      <c r="A1620" s="1">
        <v>41579</v>
      </c>
      <c r="B1620">
        <f>YEAR('base-pms_spbrasil'!E1620)</f>
        <v>2013</v>
      </c>
      <c r="C1620">
        <f>MONTH('base-pms_spbrasil'!E1620)</f>
        <v>11</v>
      </c>
      <c r="D1620" s="3" t="str">
        <f>UPPER(TEXT('base-pms_spbrasil'!E1620,"MMMM"))</f>
        <v>NOVEMBRO</v>
      </c>
    </row>
    <row r="1621" spans="1:4" x14ac:dyDescent="0.25">
      <c r="A1621" s="1">
        <v>41609</v>
      </c>
      <c r="B1621">
        <f>YEAR('base-pms_spbrasil'!E1621)</f>
        <v>2013</v>
      </c>
      <c r="C1621">
        <f>MONTH('base-pms_spbrasil'!E1621)</f>
        <v>12</v>
      </c>
      <c r="D1621" s="3" t="str">
        <f>UPPER(TEXT('base-pms_spbrasil'!E1621,"MMMM"))</f>
        <v>DEZEMBRO</v>
      </c>
    </row>
    <row r="1622" spans="1:4" x14ac:dyDescent="0.25">
      <c r="A1622" s="1">
        <v>41640</v>
      </c>
      <c r="B1622">
        <f>YEAR('base-pms_spbrasil'!E1622)</f>
        <v>2014</v>
      </c>
      <c r="C1622">
        <f>MONTH('base-pms_spbrasil'!E1622)</f>
        <v>1</v>
      </c>
      <c r="D1622" s="3" t="str">
        <f>UPPER(TEXT('base-pms_spbrasil'!E1622,"MMMM"))</f>
        <v>JANEIRO</v>
      </c>
    </row>
    <row r="1623" spans="1:4" x14ac:dyDescent="0.25">
      <c r="A1623" s="1">
        <v>41671</v>
      </c>
      <c r="B1623">
        <f>YEAR('base-pms_spbrasil'!E1623)</f>
        <v>2014</v>
      </c>
      <c r="C1623">
        <f>MONTH('base-pms_spbrasil'!E1623)</f>
        <v>2</v>
      </c>
      <c r="D1623" s="3" t="str">
        <f>UPPER(TEXT('base-pms_spbrasil'!E1623,"MMMM"))</f>
        <v>FEVEREIRO</v>
      </c>
    </row>
    <row r="1624" spans="1:4" x14ac:dyDescent="0.25">
      <c r="A1624" s="1">
        <v>41699</v>
      </c>
      <c r="B1624">
        <f>YEAR('base-pms_spbrasil'!E1624)</f>
        <v>2014</v>
      </c>
      <c r="C1624">
        <f>MONTH('base-pms_spbrasil'!E1624)</f>
        <v>3</v>
      </c>
      <c r="D1624" s="3" t="str">
        <f>UPPER(TEXT('base-pms_spbrasil'!E1624,"MMMM"))</f>
        <v>MARÇO</v>
      </c>
    </row>
    <row r="1625" spans="1:4" x14ac:dyDescent="0.25">
      <c r="A1625" s="1">
        <v>41730</v>
      </c>
      <c r="B1625">
        <f>YEAR('base-pms_spbrasil'!E1625)</f>
        <v>2014</v>
      </c>
      <c r="C1625">
        <f>MONTH('base-pms_spbrasil'!E1625)</f>
        <v>4</v>
      </c>
      <c r="D1625" s="3" t="str">
        <f>UPPER(TEXT('base-pms_spbrasil'!E1625,"MMMM"))</f>
        <v>ABRIL</v>
      </c>
    </row>
    <row r="1626" spans="1:4" x14ac:dyDescent="0.25">
      <c r="A1626" s="1">
        <v>41760</v>
      </c>
      <c r="B1626">
        <f>YEAR('base-pms_spbrasil'!E1626)</f>
        <v>2014</v>
      </c>
      <c r="C1626">
        <f>MONTH('base-pms_spbrasil'!E1626)</f>
        <v>5</v>
      </c>
      <c r="D1626" s="3" t="str">
        <f>UPPER(TEXT('base-pms_spbrasil'!E1626,"MMMM"))</f>
        <v>MAIO</v>
      </c>
    </row>
    <row r="1627" spans="1:4" x14ac:dyDescent="0.25">
      <c r="A1627" s="1">
        <v>41791</v>
      </c>
      <c r="B1627">
        <f>YEAR('base-pms_spbrasil'!E1627)</f>
        <v>2014</v>
      </c>
      <c r="C1627">
        <f>MONTH('base-pms_spbrasil'!E1627)</f>
        <v>6</v>
      </c>
      <c r="D1627" s="3" t="str">
        <f>UPPER(TEXT('base-pms_spbrasil'!E1627,"MMMM"))</f>
        <v>JUNHO</v>
      </c>
    </row>
    <row r="1628" spans="1:4" x14ac:dyDescent="0.25">
      <c r="A1628" s="1">
        <v>41821</v>
      </c>
      <c r="B1628">
        <f>YEAR('base-pms_spbrasil'!E1628)</f>
        <v>2014</v>
      </c>
      <c r="C1628">
        <f>MONTH('base-pms_spbrasil'!E1628)</f>
        <v>7</v>
      </c>
      <c r="D1628" s="3" t="str">
        <f>UPPER(TEXT('base-pms_spbrasil'!E1628,"MMMM"))</f>
        <v>JULHO</v>
      </c>
    </row>
    <row r="1629" spans="1:4" x14ac:dyDescent="0.25">
      <c r="A1629" s="1">
        <v>41852</v>
      </c>
      <c r="B1629">
        <f>YEAR('base-pms_spbrasil'!E1629)</f>
        <v>2014</v>
      </c>
      <c r="C1629">
        <f>MONTH('base-pms_spbrasil'!E1629)</f>
        <v>8</v>
      </c>
      <c r="D1629" s="3" t="str">
        <f>UPPER(TEXT('base-pms_spbrasil'!E1629,"MMMM"))</f>
        <v>AGOSTO</v>
      </c>
    </row>
    <row r="1630" spans="1:4" x14ac:dyDescent="0.25">
      <c r="A1630" s="1">
        <v>41883</v>
      </c>
      <c r="B1630">
        <f>YEAR('base-pms_spbrasil'!E1630)</f>
        <v>2014</v>
      </c>
      <c r="C1630">
        <f>MONTH('base-pms_spbrasil'!E1630)</f>
        <v>9</v>
      </c>
      <c r="D1630" s="3" t="str">
        <f>UPPER(TEXT('base-pms_spbrasil'!E1630,"MMMM"))</f>
        <v>SETEMBRO</v>
      </c>
    </row>
    <row r="1631" spans="1:4" x14ac:dyDescent="0.25">
      <c r="A1631" s="1">
        <v>41913</v>
      </c>
      <c r="B1631">
        <f>YEAR('base-pms_spbrasil'!E1631)</f>
        <v>2014</v>
      </c>
      <c r="C1631">
        <f>MONTH('base-pms_spbrasil'!E1631)</f>
        <v>10</v>
      </c>
      <c r="D1631" s="3" t="str">
        <f>UPPER(TEXT('base-pms_spbrasil'!E1631,"MMMM"))</f>
        <v>OUTUBRO</v>
      </c>
    </row>
    <row r="1632" spans="1:4" x14ac:dyDescent="0.25">
      <c r="A1632" s="1">
        <v>41944</v>
      </c>
      <c r="B1632">
        <f>YEAR('base-pms_spbrasil'!E1632)</f>
        <v>2014</v>
      </c>
      <c r="C1632">
        <f>MONTH('base-pms_spbrasil'!E1632)</f>
        <v>11</v>
      </c>
      <c r="D1632" s="3" t="str">
        <f>UPPER(TEXT('base-pms_spbrasil'!E1632,"MMMM"))</f>
        <v>NOVEMBRO</v>
      </c>
    </row>
    <row r="1633" spans="1:4" x14ac:dyDescent="0.25">
      <c r="A1633" s="1">
        <v>41974</v>
      </c>
      <c r="B1633">
        <f>YEAR('base-pms_spbrasil'!E1633)</f>
        <v>2014</v>
      </c>
      <c r="C1633">
        <f>MONTH('base-pms_spbrasil'!E1633)</f>
        <v>12</v>
      </c>
      <c r="D1633" s="3" t="str">
        <f>UPPER(TEXT('base-pms_spbrasil'!E1633,"MMMM"))</f>
        <v>DEZEMBRO</v>
      </c>
    </row>
    <row r="1634" spans="1:4" x14ac:dyDescent="0.25">
      <c r="A1634" s="1">
        <v>42005</v>
      </c>
      <c r="B1634">
        <f>YEAR('base-pms_spbrasil'!E1634)</f>
        <v>2015</v>
      </c>
      <c r="C1634">
        <f>MONTH('base-pms_spbrasil'!E1634)</f>
        <v>1</v>
      </c>
      <c r="D1634" s="3" t="str">
        <f>UPPER(TEXT('base-pms_spbrasil'!E1634,"MMMM"))</f>
        <v>JANEIRO</v>
      </c>
    </row>
    <row r="1635" spans="1:4" x14ac:dyDescent="0.25">
      <c r="A1635" s="1">
        <v>42036</v>
      </c>
      <c r="B1635">
        <f>YEAR('base-pms_spbrasil'!E1635)</f>
        <v>2015</v>
      </c>
      <c r="C1635">
        <f>MONTH('base-pms_spbrasil'!E1635)</f>
        <v>2</v>
      </c>
      <c r="D1635" s="3" t="str">
        <f>UPPER(TEXT('base-pms_spbrasil'!E1635,"MMMM"))</f>
        <v>FEVEREIRO</v>
      </c>
    </row>
    <row r="1636" spans="1:4" x14ac:dyDescent="0.25">
      <c r="A1636" s="1">
        <v>42064</v>
      </c>
      <c r="B1636">
        <f>YEAR('base-pms_spbrasil'!E1636)</f>
        <v>2015</v>
      </c>
      <c r="C1636">
        <f>MONTH('base-pms_spbrasil'!E1636)</f>
        <v>3</v>
      </c>
      <c r="D1636" s="3" t="str">
        <f>UPPER(TEXT('base-pms_spbrasil'!E1636,"MMMM"))</f>
        <v>MARÇO</v>
      </c>
    </row>
    <row r="1637" spans="1:4" x14ac:dyDescent="0.25">
      <c r="A1637" s="1">
        <v>42095</v>
      </c>
      <c r="B1637">
        <f>YEAR('base-pms_spbrasil'!E1637)</f>
        <v>2015</v>
      </c>
      <c r="C1637">
        <f>MONTH('base-pms_spbrasil'!E1637)</f>
        <v>4</v>
      </c>
      <c r="D1637" s="3" t="str">
        <f>UPPER(TEXT('base-pms_spbrasil'!E1637,"MMMM"))</f>
        <v>ABRIL</v>
      </c>
    </row>
    <row r="1638" spans="1:4" x14ac:dyDescent="0.25">
      <c r="A1638" s="1">
        <v>42125</v>
      </c>
      <c r="B1638">
        <f>YEAR('base-pms_spbrasil'!E1638)</f>
        <v>2015</v>
      </c>
      <c r="C1638">
        <f>MONTH('base-pms_spbrasil'!E1638)</f>
        <v>5</v>
      </c>
      <c r="D1638" s="3" t="str">
        <f>UPPER(TEXT('base-pms_spbrasil'!E1638,"MMMM"))</f>
        <v>MAIO</v>
      </c>
    </row>
    <row r="1639" spans="1:4" x14ac:dyDescent="0.25">
      <c r="A1639" s="1">
        <v>42156</v>
      </c>
      <c r="B1639">
        <f>YEAR('base-pms_spbrasil'!E1639)</f>
        <v>2015</v>
      </c>
      <c r="C1639">
        <f>MONTH('base-pms_spbrasil'!E1639)</f>
        <v>6</v>
      </c>
      <c r="D1639" s="3" t="str">
        <f>UPPER(TEXT('base-pms_spbrasil'!E1639,"MMMM"))</f>
        <v>JUNHO</v>
      </c>
    </row>
    <row r="1640" spans="1:4" x14ac:dyDescent="0.25">
      <c r="A1640" s="1">
        <v>42186</v>
      </c>
      <c r="B1640">
        <f>YEAR('base-pms_spbrasil'!E1640)</f>
        <v>2015</v>
      </c>
      <c r="C1640">
        <f>MONTH('base-pms_spbrasil'!E1640)</f>
        <v>7</v>
      </c>
      <c r="D1640" s="3" t="str">
        <f>UPPER(TEXT('base-pms_spbrasil'!E1640,"MMMM"))</f>
        <v>JULHO</v>
      </c>
    </row>
    <row r="1641" spans="1:4" x14ac:dyDescent="0.25">
      <c r="A1641" s="1">
        <v>42217</v>
      </c>
      <c r="B1641">
        <f>YEAR('base-pms_spbrasil'!E1641)</f>
        <v>2015</v>
      </c>
      <c r="C1641">
        <f>MONTH('base-pms_spbrasil'!E1641)</f>
        <v>8</v>
      </c>
      <c r="D1641" s="3" t="str">
        <f>UPPER(TEXT('base-pms_spbrasil'!E1641,"MMMM"))</f>
        <v>AGOSTO</v>
      </c>
    </row>
    <row r="1642" spans="1:4" x14ac:dyDescent="0.25">
      <c r="A1642" s="1">
        <v>42248</v>
      </c>
      <c r="B1642">
        <f>YEAR('base-pms_spbrasil'!E1642)</f>
        <v>2015</v>
      </c>
      <c r="C1642">
        <f>MONTH('base-pms_spbrasil'!E1642)</f>
        <v>9</v>
      </c>
      <c r="D1642" s="3" t="str">
        <f>UPPER(TEXT('base-pms_spbrasil'!E1642,"MMMM"))</f>
        <v>SETEMBRO</v>
      </c>
    </row>
    <row r="1643" spans="1:4" x14ac:dyDescent="0.25">
      <c r="A1643" s="1">
        <v>42278</v>
      </c>
      <c r="B1643">
        <f>YEAR('base-pms_spbrasil'!E1643)</f>
        <v>2015</v>
      </c>
      <c r="C1643">
        <f>MONTH('base-pms_spbrasil'!E1643)</f>
        <v>10</v>
      </c>
      <c r="D1643" s="3" t="str">
        <f>UPPER(TEXT('base-pms_spbrasil'!E1643,"MMMM"))</f>
        <v>OUTUBRO</v>
      </c>
    </row>
    <row r="1644" spans="1:4" x14ac:dyDescent="0.25">
      <c r="A1644" s="1">
        <v>42309</v>
      </c>
      <c r="B1644">
        <f>YEAR('base-pms_spbrasil'!E1644)</f>
        <v>2015</v>
      </c>
      <c r="C1644">
        <f>MONTH('base-pms_spbrasil'!E1644)</f>
        <v>11</v>
      </c>
      <c r="D1644" s="3" t="str">
        <f>UPPER(TEXT('base-pms_spbrasil'!E1644,"MMMM"))</f>
        <v>NOVEMBRO</v>
      </c>
    </row>
    <row r="1645" spans="1:4" x14ac:dyDescent="0.25">
      <c r="A1645" s="1">
        <v>42339</v>
      </c>
      <c r="B1645">
        <f>YEAR('base-pms_spbrasil'!E1645)</f>
        <v>2015</v>
      </c>
      <c r="C1645">
        <f>MONTH('base-pms_spbrasil'!E1645)</f>
        <v>12</v>
      </c>
      <c r="D1645" s="3" t="str">
        <f>UPPER(TEXT('base-pms_spbrasil'!E1645,"MMMM"))</f>
        <v>DEZEMBRO</v>
      </c>
    </row>
    <row r="1646" spans="1:4" x14ac:dyDescent="0.25">
      <c r="A1646" s="1">
        <v>42370</v>
      </c>
      <c r="B1646">
        <f>YEAR('base-pms_spbrasil'!E1646)</f>
        <v>2016</v>
      </c>
      <c r="C1646">
        <f>MONTH('base-pms_spbrasil'!E1646)</f>
        <v>1</v>
      </c>
      <c r="D1646" s="3" t="str">
        <f>UPPER(TEXT('base-pms_spbrasil'!E1646,"MMMM"))</f>
        <v>JANEIRO</v>
      </c>
    </row>
    <row r="1647" spans="1:4" x14ac:dyDescent="0.25">
      <c r="A1647" s="1">
        <v>42401</v>
      </c>
      <c r="B1647">
        <f>YEAR('base-pms_spbrasil'!E1647)</f>
        <v>2016</v>
      </c>
      <c r="C1647">
        <f>MONTH('base-pms_spbrasil'!E1647)</f>
        <v>2</v>
      </c>
      <c r="D1647" s="3" t="str">
        <f>UPPER(TEXT('base-pms_spbrasil'!E1647,"MMMM"))</f>
        <v>FEVEREIRO</v>
      </c>
    </row>
    <row r="1648" spans="1:4" x14ac:dyDescent="0.25">
      <c r="A1648" s="1">
        <v>42430</v>
      </c>
      <c r="B1648">
        <f>YEAR('base-pms_spbrasil'!E1648)</f>
        <v>2016</v>
      </c>
      <c r="C1648">
        <f>MONTH('base-pms_spbrasil'!E1648)</f>
        <v>3</v>
      </c>
      <c r="D1648" s="3" t="str">
        <f>UPPER(TEXT('base-pms_spbrasil'!E1648,"MMMM"))</f>
        <v>MARÇO</v>
      </c>
    </row>
    <row r="1649" spans="1:4" x14ac:dyDescent="0.25">
      <c r="A1649" s="1">
        <v>42461</v>
      </c>
      <c r="B1649">
        <f>YEAR('base-pms_spbrasil'!E1649)</f>
        <v>2016</v>
      </c>
      <c r="C1649">
        <f>MONTH('base-pms_spbrasil'!E1649)</f>
        <v>4</v>
      </c>
      <c r="D1649" s="3" t="str">
        <f>UPPER(TEXT('base-pms_spbrasil'!E1649,"MMMM"))</f>
        <v>ABRIL</v>
      </c>
    </row>
    <row r="1650" spans="1:4" x14ac:dyDescent="0.25">
      <c r="A1650" s="1">
        <v>42491</v>
      </c>
      <c r="B1650">
        <f>YEAR('base-pms_spbrasil'!E1650)</f>
        <v>2016</v>
      </c>
      <c r="C1650">
        <f>MONTH('base-pms_spbrasil'!E1650)</f>
        <v>5</v>
      </c>
      <c r="D1650" s="3" t="str">
        <f>UPPER(TEXT('base-pms_spbrasil'!E1650,"MMMM"))</f>
        <v>MAIO</v>
      </c>
    </row>
    <row r="1651" spans="1:4" x14ac:dyDescent="0.25">
      <c r="A1651" s="1">
        <v>42522</v>
      </c>
      <c r="B1651">
        <f>YEAR('base-pms_spbrasil'!E1651)</f>
        <v>2016</v>
      </c>
      <c r="C1651">
        <f>MONTH('base-pms_spbrasil'!E1651)</f>
        <v>6</v>
      </c>
      <c r="D1651" s="3" t="str">
        <f>UPPER(TEXT('base-pms_spbrasil'!E1651,"MMMM"))</f>
        <v>JUNHO</v>
      </c>
    </row>
    <row r="1652" spans="1:4" x14ac:dyDescent="0.25">
      <c r="A1652" s="1">
        <v>42552</v>
      </c>
      <c r="B1652">
        <f>YEAR('base-pms_spbrasil'!E1652)</f>
        <v>2016</v>
      </c>
      <c r="C1652">
        <f>MONTH('base-pms_spbrasil'!E1652)</f>
        <v>7</v>
      </c>
      <c r="D1652" s="3" t="str">
        <f>UPPER(TEXT('base-pms_spbrasil'!E1652,"MMMM"))</f>
        <v>JULHO</v>
      </c>
    </row>
    <row r="1653" spans="1:4" x14ac:dyDescent="0.25">
      <c r="A1653" s="1">
        <v>42583</v>
      </c>
      <c r="B1653">
        <f>YEAR('base-pms_spbrasil'!E1653)</f>
        <v>2016</v>
      </c>
      <c r="C1653">
        <f>MONTH('base-pms_spbrasil'!E1653)</f>
        <v>8</v>
      </c>
      <c r="D1653" s="3" t="str">
        <f>UPPER(TEXT('base-pms_spbrasil'!E1653,"MMMM"))</f>
        <v>AGOSTO</v>
      </c>
    </row>
    <row r="1654" spans="1:4" x14ac:dyDescent="0.25">
      <c r="A1654" s="1">
        <v>42614</v>
      </c>
      <c r="B1654">
        <f>YEAR('base-pms_spbrasil'!E1654)</f>
        <v>2016</v>
      </c>
      <c r="C1654">
        <f>MONTH('base-pms_spbrasil'!E1654)</f>
        <v>9</v>
      </c>
      <c r="D1654" s="3" t="str">
        <f>UPPER(TEXT('base-pms_spbrasil'!E1654,"MMMM"))</f>
        <v>SETEMBRO</v>
      </c>
    </row>
    <row r="1655" spans="1:4" x14ac:dyDescent="0.25">
      <c r="A1655" s="1">
        <v>42644</v>
      </c>
      <c r="B1655">
        <f>YEAR('base-pms_spbrasil'!E1655)</f>
        <v>2016</v>
      </c>
      <c r="C1655">
        <f>MONTH('base-pms_spbrasil'!E1655)</f>
        <v>10</v>
      </c>
      <c r="D1655" s="3" t="str">
        <f>UPPER(TEXT('base-pms_spbrasil'!E1655,"MMMM"))</f>
        <v>OUTUBRO</v>
      </c>
    </row>
    <row r="1656" spans="1:4" x14ac:dyDescent="0.25">
      <c r="A1656" s="1">
        <v>42675</v>
      </c>
      <c r="B1656">
        <f>YEAR('base-pms_spbrasil'!E1656)</f>
        <v>2016</v>
      </c>
      <c r="C1656">
        <f>MONTH('base-pms_spbrasil'!E1656)</f>
        <v>11</v>
      </c>
      <c r="D1656" s="3" t="str">
        <f>UPPER(TEXT('base-pms_spbrasil'!E1656,"MMMM"))</f>
        <v>NOVEMBRO</v>
      </c>
    </row>
    <row r="1657" spans="1:4" x14ac:dyDescent="0.25">
      <c r="A1657" s="1">
        <v>42705</v>
      </c>
      <c r="B1657">
        <f>YEAR('base-pms_spbrasil'!E1657)</f>
        <v>2016</v>
      </c>
      <c r="C1657">
        <f>MONTH('base-pms_spbrasil'!E1657)</f>
        <v>12</v>
      </c>
      <c r="D1657" s="3" t="str">
        <f>UPPER(TEXT('base-pms_spbrasil'!E1657,"MMMM"))</f>
        <v>DEZEMBRO</v>
      </c>
    </row>
    <row r="1658" spans="1:4" x14ac:dyDescent="0.25">
      <c r="A1658" s="1">
        <v>42736</v>
      </c>
      <c r="B1658">
        <f>YEAR('base-pms_spbrasil'!E1658)</f>
        <v>2017</v>
      </c>
      <c r="C1658">
        <f>MONTH('base-pms_spbrasil'!E1658)</f>
        <v>1</v>
      </c>
      <c r="D1658" s="3" t="str">
        <f>UPPER(TEXT('base-pms_spbrasil'!E1658,"MMMM"))</f>
        <v>JANEIRO</v>
      </c>
    </row>
    <row r="1659" spans="1:4" x14ac:dyDescent="0.25">
      <c r="A1659" s="1">
        <v>42767</v>
      </c>
      <c r="B1659">
        <f>YEAR('base-pms_spbrasil'!E1659)</f>
        <v>2017</v>
      </c>
      <c r="C1659">
        <f>MONTH('base-pms_spbrasil'!E1659)</f>
        <v>2</v>
      </c>
      <c r="D1659" s="3" t="str">
        <f>UPPER(TEXT('base-pms_spbrasil'!E1659,"MMMM"))</f>
        <v>FEVEREIRO</v>
      </c>
    </row>
    <row r="1660" spans="1:4" x14ac:dyDescent="0.25">
      <c r="A1660" s="1">
        <v>42795</v>
      </c>
      <c r="B1660">
        <f>YEAR('base-pms_spbrasil'!E1660)</f>
        <v>2017</v>
      </c>
      <c r="C1660">
        <f>MONTH('base-pms_spbrasil'!E1660)</f>
        <v>3</v>
      </c>
      <c r="D1660" s="3" t="str">
        <f>UPPER(TEXT('base-pms_spbrasil'!E1660,"MMMM"))</f>
        <v>MARÇO</v>
      </c>
    </row>
    <row r="1661" spans="1:4" x14ac:dyDescent="0.25">
      <c r="A1661" s="1">
        <v>42826</v>
      </c>
      <c r="B1661">
        <f>YEAR('base-pms_spbrasil'!E1661)</f>
        <v>2017</v>
      </c>
      <c r="C1661">
        <f>MONTH('base-pms_spbrasil'!E1661)</f>
        <v>4</v>
      </c>
      <c r="D1661" s="3" t="str">
        <f>UPPER(TEXT('base-pms_spbrasil'!E1661,"MMMM"))</f>
        <v>ABRIL</v>
      </c>
    </row>
    <row r="1662" spans="1:4" x14ac:dyDescent="0.25">
      <c r="A1662" s="1">
        <v>42856</v>
      </c>
      <c r="B1662">
        <f>YEAR('base-pms_spbrasil'!E1662)</f>
        <v>2017</v>
      </c>
      <c r="C1662">
        <f>MONTH('base-pms_spbrasil'!E1662)</f>
        <v>5</v>
      </c>
      <c r="D1662" s="3" t="str">
        <f>UPPER(TEXT('base-pms_spbrasil'!E1662,"MMMM"))</f>
        <v>MAIO</v>
      </c>
    </row>
    <row r="1663" spans="1:4" x14ac:dyDescent="0.25">
      <c r="A1663" s="1">
        <v>42887</v>
      </c>
      <c r="B1663">
        <f>YEAR('base-pms_spbrasil'!E1663)</f>
        <v>2017</v>
      </c>
      <c r="C1663">
        <f>MONTH('base-pms_spbrasil'!E1663)</f>
        <v>6</v>
      </c>
      <c r="D1663" s="3" t="str">
        <f>UPPER(TEXT('base-pms_spbrasil'!E1663,"MMMM"))</f>
        <v>JUNHO</v>
      </c>
    </row>
    <row r="1664" spans="1:4" x14ac:dyDescent="0.25">
      <c r="A1664" s="1">
        <v>42917</v>
      </c>
      <c r="B1664">
        <f>YEAR('base-pms_spbrasil'!E1664)</f>
        <v>2017</v>
      </c>
      <c r="C1664">
        <f>MONTH('base-pms_spbrasil'!E1664)</f>
        <v>7</v>
      </c>
      <c r="D1664" s="3" t="str">
        <f>UPPER(TEXT('base-pms_spbrasil'!E1664,"MMMM"))</f>
        <v>JULHO</v>
      </c>
    </row>
    <row r="1665" spans="1:4" x14ac:dyDescent="0.25">
      <c r="A1665" s="1">
        <v>42948</v>
      </c>
      <c r="B1665">
        <f>YEAR('base-pms_spbrasil'!E1665)</f>
        <v>2017</v>
      </c>
      <c r="C1665">
        <f>MONTH('base-pms_spbrasil'!E1665)</f>
        <v>8</v>
      </c>
      <c r="D1665" s="3" t="str">
        <f>UPPER(TEXT('base-pms_spbrasil'!E1665,"MMMM"))</f>
        <v>AGOSTO</v>
      </c>
    </row>
    <row r="1666" spans="1:4" x14ac:dyDescent="0.25">
      <c r="A1666" s="1">
        <v>42979</v>
      </c>
      <c r="B1666">
        <f>YEAR('base-pms_spbrasil'!E1666)</f>
        <v>2017</v>
      </c>
      <c r="C1666">
        <f>MONTH('base-pms_spbrasil'!E1666)</f>
        <v>9</v>
      </c>
      <c r="D1666" s="3" t="str">
        <f>UPPER(TEXT('base-pms_spbrasil'!E1666,"MMMM"))</f>
        <v>SETEMBRO</v>
      </c>
    </row>
    <row r="1667" spans="1:4" x14ac:dyDescent="0.25">
      <c r="A1667" s="1">
        <v>43009</v>
      </c>
      <c r="B1667">
        <f>YEAR('base-pms_spbrasil'!E1667)</f>
        <v>2017</v>
      </c>
      <c r="C1667">
        <f>MONTH('base-pms_spbrasil'!E1667)</f>
        <v>10</v>
      </c>
      <c r="D1667" s="3" t="str">
        <f>UPPER(TEXT('base-pms_spbrasil'!E1667,"MMMM"))</f>
        <v>OUTUBRO</v>
      </c>
    </row>
    <row r="1668" spans="1:4" x14ac:dyDescent="0.25">
      <c r="A1668" s="1">
        <v>43040</v>
      </c>
      <c r="B1668">
        <f>YEAR('base-pms_spbrasil'!E1668)</f>
        <v>2017</v>
      </c>
      <c r="C1668">
        <f>MONTH('base-pms_spbrasil'!E1668)</f>
        <v>11</v>
      </c>
      <c r="D1668" s="3" t="str">
        <f>UPPER(TEXT('base-pms_spbrasil'!E1668,"MMMM"))</f>
        <v>NOVEMBRO</v>
      </c>
    </row>
    <row r="1669" spans="1:4" x14ac:dyDescent="0.25">
      <c r="A1669" s="1">
        <v>43070</v>
      </c>
      <c r="B1669">
        <f>YEAR('base-pms_spbrasil'!E1669)</f>
        <v>2017</v>
      </c>
      <c r="C1669">
        <f>MONTH('base-pms_spbrasil'!E1669)</f>
        <v>12</v>
      </c>
      <c r="D1669" s="3" t="str">
        <f>UPPER(TEXT('base-pms_spbrasil'!E1669,"MMMM"))</f>
        <v>DEZEMBRO</v>
      </c>
    </row>
    <row r="1670" spans="1:4" x14ac:dyDescent="0.25">
      <c r="A1670" s="1">
        <v>43101</v>
      </c>
      <c r="B1670">
        <f>YEAR('base-pms_spbrasil'!E1670)</f>
        <v>2018</v>
      </c>
      <c r="C1670">
        <f>MONTH('base-pms_spbrasil'!E1670)</f>
        <v>1</v>
      </c>
      <c r="D1670" s="3" t="str">
        <f>UPPER(TEXT('base-pms_spbrasil'!E1670,"MMMM"))</f>
        <v>JANEIRO</v>
      </c>
    </row>
    <row r="1671" spans="1:4" x14ac:dyDescent="0.25">
      <c r="A1671" s="1">
        <v>43132</v>
      </c>
      <c r="B1671">
        <f>YEAR('base-pms_spbrasil'!E1671)</f>
        <v>2018</v>
      </c>
      <c r="C1671">
        <f>MONTH('base-pms_spbrasil'!E1671)</f>
        <v>2</v>
      </c>
      <c r="D1671" s="3" t="str">
        <f>UPPER(TEXT('base-pms_spbrasil'!E1671,"MMMM"))</f>
        <v>FEVEREIRO</v>
      </c>
    </row>
    <row r="1672" spans="1:4" x14ac:dyDescent="0.25">
      <c r="A1672" s="1">
        <v>43160</v>
      </c>
      <c r="B1672">
        <f>YEAR('base-pms_spbrasil'!E1672)</f>
        <v>2018</v>
      </c>
      <c r="C1672">
        <f>MONTH('base-pms_spbrasil'!E1672)</f>
        <v>3</v>
      </c>
      <c r="D1672" s="3" t="str">
        <f>UPPER(TEXT('base-pms_spbrasil'!E1672,"MMMM"))</f>
        <v>MARÇO</v>
      </c>
    </row>
    <row r="1673" spans="1:4" x14ac:dyDescent="0.25">
      <c r="A1673" s="1">
        <v>43191</v>
      </c>
      <c r="B1673">
        <f>YEAR('base-pms_spbrasil'!E1673)</f>
        <v>2018</v>
      </c>
      <c r="C1673">
        <f>MONTH('base-pms_spbrasil'!E1673)</f>
        <v>4</v>
      </c>
      <c r="D1673" s="3" t="str">
        <f>UPPER(TEXT('base-pms_spbrasil'!E1673,"MMMM"))</f>
        <v>ABRIL</v>
      </c>
    </row>
    <row r="1674" spans="1:4" x14ac:dyDescent="0.25">
      <c r="A1674" s="1">
        <v>43221</v>
      </c>
      <c r="B1674">
        <f>YEAR('base-pms_spbrasil'!E1674)</f>
        <v>2018</v>
      </c>
      <c r="C1674">
        <f>MONTH('base-pms_spbrasil'!E1674)</f>
        <v>5</v>
      </c>
      <c r="D1674" s="3" t="str">
        <f>UPPER(TEXT('base-pms_spbrasil'!E1674,"MMMM"))</f>
        <v>MAIO</v>
      </c>
    </row>
    <row r="1675" spans="1:4" x14ac:dyDescent="0.25">
      <c r="A1675" s="1">
        <v>43252</v>
      </c>
      <c r="B1675">
        <f>YEAR('base-pms_spbrasil'!E1675)</f>
        <v>2018</v>
      </c>
      <c r="C1675">
        <f>MONTH('base-pms_spbrasil'!E1675)</f>
        <v>6</v>
      </c>
      <c r="D1675" s="3" t="str">
        <f>UPPER(TEXT('base-pms_spbrasil'!E1675,"MMMM"))</f>
        <v>JUNHO</v>
      </c>
    </row>
    <row r="1676" spans="1:4" x14ac:dyDescent="0.25">
      <c r="A1676" s="1">
        <v>43282</v>
      </c>
      <c r="B1676">
        <f>YEAR('base-pms_spbrasil'!E1676)</f>
        <v>2018</v>
      </c>
      <c r="C1676">
        <f>MONTH('base-pms_spbrasil'!E1676)</f>
        <v>7</v>
      </c>
      <c r="D1676" s="3" t="str">
        <f>UPPER(TEXT('base-pms_spbrasil'!E1676,"MMMM"))</f>
        <v>JULHO</v>
      </c>
    </row>
    <row r="1677" spans="1:4" x14ac:dyDescent="0.25">
      <c r="A1677" s="1">
        <v>43313</v>
      </c>
      <c r="B1677">
        <f>YEAR('base-pms_spbrasil'!E1677)</f>
        <v>2018</v>
      </c>
      <c r="C1677">
        <f>MONTH('base-pms_spbrasil'!E1677)</f>
        <v>8</v>
      </c>
      <c r="D1677" s="3" t="str">
        <f>UPPER(TEXT('base-pms_spbrasil'!E1677,"MMMM"))</f>
        <v>AGOSTO</v>
      </c>
    </row>
    <row r="1678" spans="1:4" x14ac:dyDescent="0.25">
      <c r="A1678" s="1">
        <v>43344</v>
      </c>
      <c r="B1678">
        <f>YEAR('base-pms_spbrasil'!E1678)</f>
        <v>2018</v>
      </c>
      <c r="C1678">
        <f>MONTH('base-pms_spbrasil'!E1678)</f>
        <v>9</v>
      </c>
      <c r="D1678" s="3" t="str">
        <f>UPPER(TEXT('base-pms_spbrasil'!E1678,"MMMM"))</f>
        <v>SETEMBRO</v>
      </c>
    </row>
    <row r="1679" spans="1:4" x14ac:dyDescent="0.25">
      <c r="A1679" s="1">
        <v>43374</v>
      </c>
      <c r="B1679">
        <f>YEAR('base-pms_spbrasil'!E1679)</f>
        <v>2018</v>
      </c>
      <c r="C1679">
        <f>MONTH('base-pms_spbrasil'!E1679)</f>
        <v>10</v>
      </c>
      <c r="D1679" s="3" t="str">
        <f>UPPER(TEXT('base-pms_spbrasil'!E1679,"MMMM"))</f>
        <v>OUTUBRO</v>
      </c>
    </row>
    <row r="1680" spans="1:4" x14ac:dyDescent="0.25">
      <c r="A1680" s="1">
        <v>43405</v>
      </c>
      <c r="B1680">
        <f>YEAR('base-pms_spbrasil'!E1680)</f>
        <v>2018</v>
      </c>
      <c r="C1680">
        <f>MONTH('base-pms_spbrasil'!E1680)</f>
        <v>11</v>
      </c>
      <c r="D1680" s="3" t="str">
        <f>UPPER(TEXT('base-pms_spbrasil'!E1680,"MMMM"))</f>
        <v>NOVEMBRO</v>
      </c>
    </row>
    <row r="1681" spans="1:4" x14ac:dyDescent="0.25">
      <c r="A1681" s="1">
        <v>43435</v>
      </c>
      <c r="B1681">
        <f>YEAR('base-pms_spbrasil'!E1681)</f>
        <v>2018</v>
      </c>
      <c r="C1681">
        <f>MONTH('base-pms_spbrasil'!E1681)</f>
        <v>12</v>
      </c>
      <c r="D1681" s="3" t="str">
        <f>UPPER(TEXT('base-pms_spbrasil'!E1681,"MMMM"))</f>
        <v>DEZEMBRO</v>
      </c>
    </row>
    <row r="1682" spans="1:4" x14ac:dyDescent="0.25">
      <c r="A1682" s="1">
        <v>43466</v>
      </c>
      <c r="B1682">
        <f>YEAR('base-pms_spbrasil'!E1682)</f>
        <v>2019</v>
      </c>
      <c r="C1682">
        <f>MONTH('base-pms_spbrasil'!E1682)</f>
        <v>1</v>
      </c>
      <c r="D1682" s="3" t="str">
        <f>UPPER(TEXT('base-pms_spbrasil'!E1682,"MMMM"))</f>
        <v>JANEIRO</v>
      </c>
    </row>
    <row r="1683" spans="1:4" x14ac:dyDescent="0.25">
      <c r="A1683" s="1">
        <v>43497</v>
      </c>
      <c r="B1683">
        <f>YEAR('base-pms_spbrasil'!E1683)</f>
        <v>2019</v>
      </c>
      <c r="C1683">
        <f>MONTH('base-pms_spbrasil'!E1683)</f>
        <v>2</v>
      </c>
      <c r="D1683" s="3" t="str">
        <f>UPPER(TEXT('base-pms_spbrasil'!E1683,"MMMM"))</f>
        <v>FEVEREIRO</v>
      </c>
    </row>
    <row r="1684" spans="1:4" x14ac:dyDescent="0.25">
      <c r="A1684" s="1">
        <v>43525</v>
      </c>
      <c r="B1684">
        <f>YEAR('base-pms_spbrasil'!E1684)</f>
        <v>2019</v>
      </c>
      <c r="C1684">
        <f>MONTH('base-pms_spbrasil'!E1684)</f>
        <v>3</v>
      </c>
      <c r="D1684" s="3" t="str">
        <f>UPPER(TEXT('base-pms_spbrasil'!E1684,"MMMM"))</f>
        <v>MARÇO</v>
      </c>
    </row>
    <row r="1685" spans="1:4" x14ac:dyDescent="0.25">
      <c r="A1685" s="1">
        <v>43556</v>
      </c>
      <c r="B1685">
        <f>YEAR('base-pms_spbrasil'!E1685)</f>
        <v>2019</v>
      </c>
      <c r="C1685">
        <f>MONTH('base-pms_spbrasil'!E1685)</f>
        <v>4</v>
      </c>
      <c r="D1685" s="3" t="str">
        <f>UPPER(TEXT('base-pms_spbrasil'!E1685,"MMMM"))</f>
        <v>ABRIL</v>
      </c>
    </row>
    <row r="1686" spans="1:4" x14ac:dyDescent="0.25">
      <c r="A1686" s="1">
        <v>43586</v>
      </c>
      <c r="B1686">
        <f>YEAR('base-pms_spbrasil'!E1686)</f>
        <v>2019</v>
      </c>
      <c r="C1686">
        <f>MONTH('base-pms_spbrasil'!E1686)</f>
        <v>5</v>
      </c>
      <c r="D1686" s="3" t="str">
        <f>UPPER(TEXT('base-pms_spbrasil'!E1686,"MMMM"))</f>
        <v>MAIO</v>
      </c>
    </row>
    <row r="1687" spans="1:4" x14ac:dyDescent="0.25">
      <c r="A1687" s="1">
        <v>43617</v>
      </c>
      <c r="B1687">
        <f>YEAR('base-pms_spbrasil'!E1687)</f>
        <v>2019</v>
      </c>
      <c r="C1687">
        <f>MONTH('base-pms_spbrasil'!E1687)</f>
        <v>6</v>
      </c>
      <c r="D1687" s="3" t="str">
        <f>UPPER(TEXT('base-pms_spbrasil'!E1687,"MMMM"))</f>
        <v>JUNHO</v>
      </c>
    </row>
    <row r="1688" spans="1:4" x14ac:dyDescent="0.25">
      <c r="A1688" s="1">
        <v>43647</v>
      </c>
      <c r="B1688">
        <f>YEAR('base-pms_spbrasil'!E1688)</f>
        <v>2019</v>
      </c>
      <c r="C1688">
        <f>MONTH('base-pms_spbrasil'!E1688)</f>
        <v>7</v>
      </c>
      <c r="D1688" s="3" t="str">
        <f>UPPER(TEXT('base-pms_spbrasil'!E1688,"MMMM"))</f>
        <v>JULHO</v>
      </c>
    </row>
    <row r="1689" spans="1:4" x14ac:dyDescent="0.25">
      <c r="A1689" s="1">
        <v>43678</v>
      </c>
      <c r="B1689">
        <f>YEAR('base-pms_spbrasil'!E1689)</f>
        <v>2019</v>
      </c>
      <c r="C1689">
        <f>MONTH('base-pms_spbrasil'!E1689)</f>
        <v>8</v>
      </c>
      <c r="D1689" s="3" t="str">
        <f>UPPER(TEXT('base-pms_spbrasil'!E1689,"MMMM"))</f>
        <v>AGOSTO</v>
      </c>
    </row>
    <row r="1690" spans="1:4" x14ac:dyDescent="0.25">
      <c r="A1690" s="1">
        <v>43709</v>
      </c>
      <c r="B1690">
        <f>YEAR('base-pms_spbrasil'!E1690)</f>
        <v>2019</v>
      </c>
      <c r="C1690">
        <f>MONTH('base-pms_spbrasil'!E1690)</f>
        <v>9</v>
      </c>
      <c r="D1690" s="3" t="str">
        <f>UPPER(TEXT('base-pms_spbrasil'!E1690,"MMMM"))</f>
        <v>SETEMBRO</v>
      </c>
    </row>
    <row r="1691" spans="1:4" x14ac:dyDescent="0.25">
      <c r="A1691" s="1">
        <v>43739</v>
      </c>
      <c r="B1691">
        <f>YEAR('base-pms_spbrasil'!E1691)</f>
        <v>2019</v>
      </c>
      <c r="C1691">
        <f>MONTH('base-pms_spbrasil'!E1691)</f>
        <v>10</v>
      </c>
      <c r="D1691" s="3" t="str">
        <f>UPPER(TEXT('base-pms_spbrasil'!E1691,"MMMM"))</f>
        <v>OUTUBRO</v>
      </c>
    </row>
    <row r="1692" spans="1:4" x14ac:dyDescent="0.25">
      <c r="A1692" s="1">
        <v>43770</v>
      </c>
      <c r="B1692">
        <f>YEAR('base-pms_spbrasil'!E1692)</f>
        <v>2019</v>
      </c>
      <c r="C1692">
        <f>MONTH('base-pms_spbrasil'!E1692)</f>
        <v>11</v>
      </c>
      <c r="D1692" s="3" t="str">
        <f>UPPER(TEXT('base-pms_spbrasil'!E1692,"MMMM"))</f>
        <v>NOVEMBRO</v>
      </c>
    </row>
    <row r="1693" spans="1:4" x14ac:dyDescent="0.25">
      <c r="A1693" s="1">
        <v>43800</v>
      </c>
      <c r="B1693">
        <f>YEAR('base-pms_spbrasil'!E1693)</f>
        <v>2019</v>
      </c>
      <c r="C1693">
        <f>MONTH('base-pms_spbrasil'!E1693)</f>
        <v>12</v>
      </c>
      <c r="D1693" s="3" t="str">
        <f>UPPER(TEXT('base-pms_spbrasil'!E1693,"MMMM"))</f>
        <v>DEZEMBRO</v>
      </c>
    </row>
    <row r="1694" spans="1:4" x14ac:dyDescent="0.25">
      <c r="A1694" s="1">
        <v>43831</v>
      </c>
      <c r="B1694">
        <f>YEAR('base-pms_spbrasil'!E1694)</f>
        <v>2020</v>
      </c>
      <c r="C1694">
        <f>MONTH('base-pms_spbrasil'!E1694)</f>
        <v>1</v>
      </c>
      <c r="D1694" s="3" t="str">
        <f>UPPER(TEXT('base-pms_spbrasil'!E1694,"MMMM"))</f>
        <v>JANEIRO</v>
      </c>
    </row>
    <row r="1695" spans="1:4" x14ac:dyDescent="0.25">
      <c r="A1695" s="1">
        <v>43862</v>
      </c>
      <c r="B1695">
        <f>YEAR('base-pms_spbrasil'!E1695)</f>
        <v>2020</v>
      </c>
      <c r="C1695">
        <f>MONTH('base-pms_spbrasil'!E1695)</f>
        <v>2</v>
      </c>
      <c r="D1695" s="3" t="str">
        <f>UPPER(TEXT('base-pms_spbrasil'!E1695,"MMMM"))</f>
        <v>FEVEREIRO</v>
      </c>
    </row>
    <row r="1696" spans="1:4" x14ac:dyDescent="0.25">
      <c r="A1696" s="1">
        <v>43891</v>
      </c>
      <c r="B1696">
        <f>YEAR('base-pms_spbrasil'!E1696)</f>
        <v>2020</v>
      </c>
      <c r="C1696">
        <f>MONTH('base-pms_spbrasil'!E1696)</f>
        <v>3</v>
      </c>
      <c r="D1696" s="3" t="str">
        <f>UPPER(TEXT('base-pms_spbrasil'!E1696,"MMMM"))</f>
        <v>MARÇO</v>
      </c>
    </row>
    <row r="1697" spans="1:4" x14ac:dyDescent="0.25">
      <c r="A1697" s="1">
        <v>43922</v>
      </c>
      <c r="B1697">
        <f>YEAR('base-pms_spbrasil'!E1697)</f>
        <v>2020</v>
      </c>
      <c r="C1697">
        <f>MONTH('base-pms_spbrasil'!E1697)</f>
        <v>4</v>
      </c>
      <c r="D1697" s="3" t="str">
        <f>UPPER(TEXT('base-pms_spbrasil'!E1697,"MMMM"))</f>
        <v>ABRIL</v>
      </c>
    </row>
    <row r="1698" spans="1:4" x14ac:dyDescent="0.25">
      <c r="A1698" s="1">
        <v>43952</v>
      </c>
      <c r="B1698">
        <f>YEAR('base-pms_spbrasil'!E1698)</f>
        <v>2020</v>
      </c>
      <c r="C1698">
        <f>MONTH('base-pms_spbrasil'!E1698)</f>
        <v>5</v>
      </c>
      <c r="D1698" s="3" t="str">
        <f>UPPER(TEXT('base-pms_spbrasil'!E1698,"MMMM"))</f>
        <v>MAIO</v>
      </c>
    </row>
    <row r="1699" spans="1:4" x14ac:dyDescent="0.25">
      <c r="A1699" s="1">
        <v>43983</v>
      </c>
      <c r="B1699">
        <f>YEAR('base-pms_spbrasil'!E1699)</f>
        <v>2020</v>
      </c>
      <c r="C1699">
        <f>MONTH('base-pms_spbrasil'!E1699)</f>
        <v>6</v>
      </c>
      <c r="D1699" s="3" t="str">
        <f>UPPER(TEXT('base-pms_spbrasil'!E1699,"MMMM"))</f>
        <v>JUNHO</v>
      </c>
    </row>
    <row r="1700" spans="1:4" x14ac:dyDescent="0.25">
      <c r="A1700" s="1">
        <v>44013</v>
      </c>
      <c r="B1700">
        <f>YEAR('base-pms_spbrasil'!E1700)</f>
        <v>2020</v>
      </c>
      <c r="C1700">
        <f>MONTH('base-pms_spbrasil'!E1700)</f>
        <v>7</v>
      </c>
      <c r="D1700" s="3" t="str">
        <f>UPPER(TEXT('base-pms_spbrasil'!E1700,"MMMM"))</f>
        <v>JULHO</v>
      </c>
    </row>
    <row r="1701" spans="1:4" x14ac:dyDescent="0.25">
      <c r="A1701" s="1">
        <v>44044</v>
      </c>
      <c r="B1701">
        <f>YEAR('base-pms_spbrasil'!E1701)</f>
        <v>2020</v>
      </c>
      <c r="C1701">
        <f>MONTH('base-pms_spbrasil'!E1701)</f>
        <v>8</v>
      </c>
      <c r="D1701" s="3" t="str">
        <f>UPPER(TEXT('base-pms_spbrasil'!E1701,"MMMM"))</f>
        <v>AGOSTO</v>
      </c>
    </row>
    <row r="1702" spans="1:4" x14ac:dyDescent="0.25">
      <c r="A1702" s="1">
        <v>44075</v>
      </c>
      <c r="B1702">
        <f>YEAR('base-pms_spbrasil'!E1702)</f>
        <v>2020</v>
      </c>
      <c r="C1702">
        <f>MONTH('base-pms_spbrasil'!E1702)</f>
        <v>9</v>
      </c>
      <c r="D1702" s="3" t="str">
        <f>UPPER(TEXT('base-pms_spbrasil'!E1702,"MMMM"))</f>
        <v>SETEMBRO</v>
      </c>
    </row>
    <row r="1703" spans="1:4" x14ac:dyDescent="0.25">
      <c r="A1703" s="1">
        <v>44105</v>
      </c>
      <c r="B1703">
        <f>YEAR('base-pms_spbrasil'!E1703)</f>
        <v>2020</v>
      </c>
      <c r="C1703">
        <f>MONTH('base-pms_spbrasil'!E1703)</f>
        <v>10</v>
      </c>
      <c r="D1703" s="3" t="str">
        <f>UPPER(TEXT('base-pms_spbrasil'!E1703,"MMMM"))</f>
        <v>OUTUBRO</v>
      </c>
    </row>
    <row r="1704" spans="1:4" x14ac:dyDescent="0.25">
      <c r="A1704" s="1">
        <v>44136</v>
      </c>
      <c r="B1704">
        <f>YEAR('base-pms_spbrasil'!E1704)</f>
        <v>2020</v>
      </c>
      <c r="C1704">
        <f>MONTH('base-pms_spbrasil'!E1704)</f>
        <v>11</v>
      </c>
      <c r="D1704" s="3" t="str">
        <f>UPPER(TEXT('base-pms_spbrasil'!E1704,"MMMM"))</f>
        <v>NOVEMBRO</v>
      </c>
    </row>
    <row r="1705" spans="1:4" x14ac:dyDescent="0.25">
      <c r="A1705" s="1">
        <v>44166</v>
      </c>
      <c r="B1705">
        <f>YEAR('base-pms_spbrasil'!E1705)</f>
        <v>2020</v>
      </c>
      <c r="C1705">
        <f>MONTH('base-pms_spbrasil'!E1705)</f>
        <v>12</v>
      </c>
      <c r="D1705" s="3" t="str">
        <f>UPPER(TEXT('base-pms_spbrasil'!E1705,"MMMM"))</f>
        <v>DEZEMBRO</v>
      </c>
    </row>
    <row r="1706" spans="1:4" x14ac:dyDescent="0.25">
      <c r="A1706" s="1">
        <v>44197</v>
      </c>
      <c r="B1706">
        <f>YEAR('base-pms_spbrasil'!E1706)</f>
        <v>2021</v>
      </c>
      <c r="C1706">
        <f>MONTH('base-pms_spbrasil'!E1706)</f>
        <v>1</v>
      </c>
      <c r="D1706" s="3" t="str">
        <f>UPPER(TEXT('base-pms_spbrasil'!E1706,"MMMM"))</f>
        <v>JANEIRO</v>
      </c>
    </row>
    <row r="1707" spans="1:4" x14ac:dyDescent="0.25">
      <c r="A1707" s="1">
        <v>44228</v>
      </c>
      <c r="B1707">
        <f>YEAR('base-pms_spbrasil'!E1707)</f>
        <v>2021</v>
      </c>
      <c r="C1707">
        <f>MONTH('base-pms_spbrasil'!E1707)</f>
        <v>2</v>
      </c>
      <c r="D1707" s="3" t="str">
        <f>UPPER(TEXT('base-pms_spbrasil'!E1707,"MMMM"))</f>
        <v>FEVEREIRO</v>
      </c>
    </row>
    <row r="1708" spans="1:4" x14ac:dyDescent="0.25">
      <c r="A1708" s="1">
        <v>44256</v>
      </c>
      <c r="B1708">
        <f>YEAR('base-pms_spbrasil'!E1708)</f>
        <v>2021</v>
      </c>
      <c r="C1708">
        <f>MONTH('base-pms_spbrasil'!E1708)</f>
        <v>3</v>
      </c>
      <c r="D1708" s="3" t="str">
        <f>UPPER(TEXT('base-pms_spbrasil'!E1708,"MMMM"))</f>
        <v>MARÇO</v>
      </c>
    </row>
    <row r="1709" spans="1:4" x14ac:dyDescent="0.25">
      <c r="A1709" s="1">
        <v>44287</v>
      </c>
      <c r="B1709">
        <f>YEAR('base-pms_spbrasil'!E1709)</f>
        <v>2021</v>
      </c>
      <c r="C1709">
        <f>MONTH('base-pms_spbrasil'!E1709)</f>
        <v>4</v>
      </c>
      <c r="D1709" s="3" t="str">
        <f>UPPER(TEXT('base-pms_spbrasil'!E1709,"MMMM"))</f>
        <v>ABRIL</v>
      </c>
    </row>
    <row r="1710" spans="1:4" x14ac:dyDescent="0.25">
      <c r="A1710" s="1">
        <v>44317</v>
      </c>
      <c r="B1710">
        <f>YEAR('base-pms_spbrasil'!E1710)</f>
        <v>2021</v>
      </c>
      <c r="C1710">
        <f>MONTH('base-pms_spbrasil'!E1710)</f>
        <v>5</v>
      </c>
      <c r="D1710" s="3" t="str">
        <f>UPPER(TEXT('base-pms_spbrasil'!E1710,"MMMM"))</f>
        <v>MAIO</v>
      </c>
    </row>
    <row r="1711" spans="1:4" x14ac:dyDescent="0.25">
      <c r="A1711" s="1">
        <v>44348</v>
      </c>
      <c r="B1711">
        <f>YEAR('base-pms_spbrasil'!E1711)</f>
        <v>2021</v>
      </c>
      <c r="C1711">
        <f>MONTH('base-pms_spbrasil'!E1711)</f>
        <v>6</v>
      </c>
      <c r="D1711" s="3" t="str">
        <f>UPPER(TEXT('base-pms_spbrasil'!E1711,"MMMM"))</f>
        <v>JUNHO</v>
      </c>
    </row>
    <row r="1712" spans="1:4" x14ac:dyDescent="0.25">
      <c r="A1712" s="1">
        <v>44378</v>
      </c>
      <c r="B1712">
        <f>YEAR('base-pms_spbrasil'!E1712)</f>
        <v>2021</v>
      </c>
      <c r="C1712">
        <f>MONTH('base-pms_spbrasil'!E1712)</f>
        <v>7</v>
      </c>
      <c r="D1712" s="3" t="str">
        <f>UPPER(TEXT('base-pms_spbrasil'!E1712,"MMMM"))</f>
        <v>JULHO</v>
      </c>
    </row>
    <row r="1713" spans="1:4" x14ac:dyDescent="0.25">
      <c r="A1713" s="1">
        <v>44409</v>
      </c>
      <c r="B1713">
        <f>YEAR('base-pms_spbrasil'!E1713)</f>
        <v>2021</v>
      </c>
      <c r="C1713">
        <f>MONTH('base-pms_spbrasil'!E1713)</f>
        <v>8</v>
      </c>
      <c r="D1713" s="3" t="str">
        <f>UPPER(TEXT('base-pms_spbrasil'!E1713,"MMMM"))</f>
        <v>AGOSTO</v>
      </c>
    </row>
    <row r="1714" spans="1:4" x14ac:dyDescent="0.25">
      <c r="A1714" s="1">
        <v>44440</v>
      </c>
      <c r="B1714">
        <f>YEAR('base-pms_spbrasil'!E1714)</f>
        <v>2021</v>
      </c>
      <c r="C1714">
        <f>MONTH('base-pms_spbrasil'!E1714)</f>
        <v>9</v>
      </c>
      <c r="D1714" s="3" t="str">
        <f>UPPER(TEXT('base-pms_spbrasil'!E1714,"MMMM"))</f>
        <v>SETEMBRO</v>
      </c>
    </row>
    <row r="1715" spans="1:4" x14ac:dyDescent="0.25">
      <c r="A1715" s="1">
        <v>44470</v>
      </c>
      <c r="B1715">
        <f>YEAR('base-pms_spbrasil'!E1715)</f>
        <v>2021</v>
      </c>
      <c r="C1715">
        <f>MONTH('base-pms_spbrasil'!E1715)</f>
        <v>10</v>
      </c>
      <c r="D1715" s="3" t="str">
        <f>UPPER(TEXT('base-pms_spbrasil'!E1715,"MMMM"))</f>
        <v>OUTUBRO</v>
      </c>
    </row>
    <row r="1716" spans="1:4" x14ac:dyDescent="0.25">
      <c r="A1716" s="1">
        <v>44501</v>
      </c>
      <c r="B1716">
        <f>YEAR('base-pms_spbrasil'!E1716)</f>
        <v>2021</v>
      </c>
      <c r="C1716">
        <f>MONTH('base-pms_spbrasil'!E1716)</f>
        <v>11</v>
      </c>
      <c r="D1716" s="3" t="str">
        <f>UPPER(TEXT('base-pms_spbrasil'!E1716,"MMMM"))</f>
        <v>NOVEMBRO</v>
      </c>
    </row>
    <row r="1717" spans="1:4" x14ac:dyDescent="0.25">
      <c r="A1717" s="1">
        <v>44531</v>
      </c>
      <c r="B1717">
        <f>YEAR('base-pms_spbrasil'!E1717)</f>
        <v>2021</v>
      </c>
      <c r="C1717">
        <f>MONTH('base-pms_spbrasil'!E1717)</f>
        <v>12</v>
      </c>
      <c r="D1717" s="3" t="str">
        <f>UPPER(TEXT('base-pms_spbrasil'!E1717,"MMMM"))</f>
        <v>DEZEMBRO</v>
      </c>
    </row>
    <row r="1718" spans="1:4" x14ac:dyDescent="0.25">
      <c r="A1718" s="1">
        <v>44562</v>
      </c>
      <c r="B1718">
        <f>YEAR('base-pms_spbrasil'!E1718)</f>
        <v>2022</v>
      </c>
      <c r="C1718">
        <f>MONTH('base-pms_spbrasil'!E1718)</f>
        <v>1</v>
      </c>
      <c r="D1718" s="3" t="str">
        <f>UPPER(TEXT('base-pms_spbrasil'!E1718,"MMMM"))</f>
        <v>JANEIRO</v>
      </c>
    </row>
    <row r="1719" spans="1:4" x14ac:dyDescent="0.25">
      <c r="A1719" s="1">
        <v>44593</v>
      </c>
      <c r="B1719">
        <f>YEAR('base-pms_spbrasil'!E1719)</f>
        <v>2022</v>
      </c>
      <c r="C1719">
        <f>MONTH('base-pms_spbrasil'!E1719)</f>
        <v>2</v>
      </c>
      <c r="D1719" s="3" t="str">
        <f>UPPER(TEXT('base-pms_spbrasil'!E1719,"MMMM"))</f>
        <v>FEVEREIRO</v>
      </c>
    </row>
    <row r="1720" spans="1:4" x14ac:dyDescent="0.25">
      <c r="A1720" s="1">
        <v>44621</v>
      </c>
      <c r="B1720">
        <f>YEAR('base-pms_spbrasil'!E1720)</f>
        <v>2022</v>
      </c>
      <c r="C1720">
        <f>MONTH('base-pms_spbrasil'!E1720)</f>
        <v>3</v>
      </c>
      <c r="D1720" s="3" t="str">
        <f>UPPER(TEXT('base-pms_spbrasil'!E1720,"MMMM"))</f>
        <v>MARÇO</v>
      </c>
    </row>
    <row r="1721" spans="1:4" x14ac:dyDescent="0.25">
      <c r="A1721" s="1">
        <v>44652</v>
      </c>
      <c r="B1721">
        <f>YEAR('base-pms_spbrasil'!E1721)</f>
        <v>2022</v>
      </c>
      <c r="C1721">
        <f>MONTH('base-pms_spbrasil'!E1721)</f>
        <v>4</v>
      </c>
      <c r="D1721" s="3" t="str">
        <f>UPPER(TEXT('base-pms_spbrasil'!E1721,"MMMM"))</f>
        <v>ABRIL</v>
      </c>
    </row>
    <row r="1722" spans="1:4" x14ac:dyDescent="0.25">
      <c r="A1722" s="1">
        <v>44682</v>
      </c>
      <c r="B1722">
        <f>YEAR('base-pms_spbrasil'!E1722)</f>
        <v>2022</v>
      </c>
      <c r="C1722">
        <f>MONTH('base-pms_spbrasil'!E1722)</f>
        <v>5</v>
      </c>
      <c r="D1722" s="3" t="str">
        <f>UPPER(TEXT('base-pms_spbrasil'!E1722,"MMMM"))</f>
        <v>MAIO</v>
      </c>
    </row>
    <row r="1723" spans="1:4" x14ac:dyDescent="0.25">
      <c r="A1723" s="1">
        <v>44713</v>
      </c>
      <c r="B1723">
        <f>YEAR('base-pms_spbrasil'!E1723)</f>
        <v>2022</v>
      </c>
      <c r="C1723">
        <f>MONTH('base-pms_spbrasil'!E1723)</f>
        <v>6</v>
      </c>
      <c r="D1723" s="3" t="str">
        <f>UPPER(TEXT('base-pms_spbrasil'!E1723,"MMMM"))</f>
        <v>JUNHO</v>
      </c>
    </row>
    <row r="1724" spans="1:4" x14ac:dyDescent="0.25">
      <c r="A1724" s="1">
        <v>44743</v>
      </c>
      <c r="B1724">
        <f>YEAR('base-pms_spbrasil'!E1724)</f>
        <v>2022</v>
      </c>
      <c r="C1724">
        <f>MONTH('base-pms_spbrasil'!E1724)</f>
        <v>7</v>
      </c>
      <c r="D1724" s="3" t="str">
        <f>UPPER(TEXT('base-pms_spbrasil'!E1724,"MMMM"))</f>
        <v>JULHO</v>
      </c>
    </row>
    <row r="1725" spans="1:4" x14ac:dyDescent="0.25">
      <c r="A1725" s="1">
        <v>44774</v>
      </c>
      <c r="B1725">
        <f>YEAR('base-pms_spbrasil'!E1725)</f>
        <v>2022</v>
      </c>
      <c r="C1725">
        <f>MONTH('base-pms_spbrasil'!E1725)</f>
        <v>8</v>
      </c>
      <c r="D1725" s="3" t="str">
        <f>UPPER(TEXT('base-pms_spbrasil'!E1725,"MMMM"))</f>
        <v>AGOSTO</v>
      </c>
    </row>
    <row r="1726" spans="1:4" x14ac:dyDescent="0.25">
      <c r="A1726" s="1">
        <v>44805</v>
      </c>
      <c r="B1726">
        <f>YEAR('base-pms_spbrasil'!E1726)</f>
        <v>2022</v>
      </c>
      <c r="C1726">
        <f>MONTH('base-pms_spbrasil'!E1726)</f>
        <v>9</v>
      </c>
      <c r="D1726" s="3" t="str">
        <f>UPPER(TEXT('base-pms_spbrasil'!E1726,"MMMM"))</f>
        <v>SETEMBRO</v>
      </c>
    </row>
    <row r="1727" spans="1:4" x14ac:dyDescent="0.25">
      <c r="A1727" s="1">
        <v>44835</v>
      </c>
      <c r="B1727">
        <f>YEAR('base-pms_spbrasil'!E1727)</f>
        <v>2022</v>
      </c>
      <c r="C1727">
        <f>MONTH('base-pms_spbrasil'!E1727)</f>
        <v>10</v>
      </c>
      <c r="D1727" s="3" t="str">
        <f>UPPER(TEXT('base-pms_spbrasil'!E1727,"MMMM"))</f>
        <v>OUTUBRO</v>
      </c>
    </row>
    <row r="1728" spans="1:4" x14ac:dyDescent="0.25">
      <c r="A1728" s="1">
        <v>44866</v>
      </c>
      <c r="B1728">
        <f>YEAR('base-pms_spbrasil'!E1728)</f>
        <v>2022</v>
      </c>
      <c r="C1728">
        <f>MONTH('base-pms_spbrasil'!E1728)</f>
        <v>11</v>
      </c>
      <c r="D1728" s="3" t="str">
        <f>UPPER(TEXT('base-pms_spbrasil'!E1728,"MMMM"))</f>
        <v>NOVEMBRO</v>
      </c>
    </row>
    <row r="1729" spans="1:4" x14ac:dyDescent="0.25">
      <c r="A1729" s="1">
        <v>44896</v>
      </c>
      <c r="B1729">
        <f>YEAR('base-pms_spbrasil'!E1729)</f>
        <v>2022</v>
      </c>
      <c r="C1729">
        <f>MONTH('base-pms_spbrasil'!E1729)</f>
        <v>12</v>
      </c>
      <c r="D1729" s="3" t="str">
        <f>UPPER(TEXT('base-pms_spbrasil'!E1729,"MMMM"))</f>
        <v>DEZEMBRO</v>
      </c>
    </row>
    <row r="1730" spans="1:4" x14ac:dyDescent="0.25">
      <c r="A1730" s="1">
        <v>44927</v>
      </c>
      <c r="B1730">
        <f>YEAR('base-pms_spbrasil'!E1730)</f>
        <v>2023</v>
      </c>
      <c r="C1730">
        <f>MONTH('base-pms_spbrasil'!E1730)</f>
        <v>1</v>
      </c>
      <c r="D1730" s="3" t="str">
        <f>UPPER(TEXT('base-pms_spbrasil'!E1730,"MMMM"))</f>
        <v>JANEIRO</v>
      </c>
    </row>
    <row r="1731" spans="1:4" x14ac:dyDescent="0.25">
      <c r="A1731" s="1">
        <v>44958</v>
      </c>
      <c r="B1731">
        <f>YEAR('base-pms_spbrasil'!E1731)</f>
        <v>2023</v>
      </c>
      <c r="C1731">
        <f>MONTH('base-pms_spbrasil'!E1731)</f>
        <v>2</v>
      </c>
      <c r="D1731" s="3" t="str">
        <f>UPPER(TEXT('base-pms_spbrasil'!E1731,"MMMM"))</f>
        <v>FEVEREIRO</v>
      </c>
    </row>
    <row r="1732" spans="1:4" x14ac:dyDescent="0.25">
      <c r="A1732" s="1">
        <v>44986</v>
      </c>
      <c r="B1732">
        <f>YEAR('base-pms_spbrasil'!E1732)</f>
        <v>2023</v>
      </c>
      <c r="C1732">
        <f>MONTH('base-pms_spbrasil'!E1732)</f>
        <v>3</v>
      </c>
      <c r="D1732" s="3" t="str">
        <f>UPPER(TEXT('base-pms_spbrasil'!E1732,"MMMM"))</f>
        <v>MARÇO</v>
      </c>
    </row>
    <row r="1733" spans="1:4" x14ac:dyDescent="0.25">
      <c r="A1733" s="1">
        <v>45017</v>
      </c>
      <c r="B1733">
        <f>YEAR('base-pms_spbrasil'!E1733)</f>
        <v>2023</v>
      </c>
      <c r="C1733">
        <f>MONTH('base-pms_spbrasil'!E1733)</f>
        <v>4</v>
      </c>
      <c r="D1733" s="3" t="str">
        <f>UPPER(TEXT('base-pms_spbrasil'!E1733,"MMMM"))</f>
        <v>ABRIL</v>
      </c>
    </row>
    <row r="1734" spans="1:4" x14ac:dyDescent="0.25">
      <c r="A1734" s="1">
        <v>45047</v>
      </c>
      <c r="B1734">
        <f>YEAR('base-pms_spbrasil'!E1734)</f>
        <v>2023</v>
      </c>
      <c r="C1734">
        <f>MONTH('base-pms_spbrasil'!E1734)</f>
        <v>5</v>
      </c>
      <c r="D1734" s="3" t="str">
        <f>UPPER(TEXT('base-pms_spbrasil'!E1734,"MMMM"))</f>
        <v>MAIO</v>
      </c>
    </row>
    <row r="1735" spans="1:4" x14ac:dyDescent="0.25">
      <c r="A1735" s="1">
        <v>45078</v>
      </c>
      <c r="B1735">
        <f>YEAR('base-pms_spbrasil'!E1735)</f>
        <v>2023</v>
      </c>
      <c r="C1735">
        <f>MONTH('base-pms_spbrasil'!E1735)</f>
        <v>6</v>
      </c>
      <c r="D1735" s="3" t="str">
        <f>UPPER(TEXT('base-pms_spbrasil'!E1735,"MMMM"))</f>
        <v>JUNHO</v>
      </c>
    </row>
    <row r="1736" spans="1:4" x14ac:dyDescent="0.25">
      <c r="A1736" s="1">
        <v>45108</v>
      </c>
      <c r="B1736">
        <f>YEAR('base-pms_spbrasil'!E1736)</f>
        <v>2023</v>
      </c>
      <c r="C1736">
        <f>MONTH('base-pms_spbrasil'!E1736)</f>
        <v>7</v>
      </c>
      <c r="D1736" s="3" t="str">
        <f>UPPER(TEXT('base-pms_spbrasil'!E1736,"MMMM"))</f>
        <v>JULHO</v>
      </c>
    </row>
    <row r="1737" spans="1:4" x14ac:dyDescent="0.25">
      <c r="A1737" s="1">
        <v>45139</v>
      </c>
      <c r="B1737">
        <f>YEAR('base-pms_spbrasil'!E1737)</f>
        <v>2023</v>
      </c>
      <c r="C1737">
        <f>MONTH('base-pms_spbrasil'!E1737)</f>
        <v>8</v>
      </c>
      <c r="D1737" s="3" t="str">
        <f>UPPER(TEXT('base-pms_spbrasil'!E1737,"MMMM"))</f>
        <v>AGOSTO</v>
      </c>
    </row>
    <row r="1738" spans="1:4" x14ac:dyDescent="0.25">
      <c r="A1738" s="1">
        <v>45170</v>
      </c>
      <c r="B1738">
        <f>YEAR('base-pms_spbrasil'!E1738)</f>
        <v>2023</v>
      </c>
      <c r="C1738">
        <f>MONTH('base-pms_spbrasil'!E1738)</f>
        <v>9</v>
      </c>
      <c r="D1738" s="3" t="str">
        <f>UPPER(TEXT('base-pms_spbrasil'!E1738,"MMMM"))</f>
        <v>SETEMBRO</v>
      </c>
    </row>
    <row r="1739" spans="1:4" x14ac:dyDescent="0.25">
      <c r="A1739" s="1">
        <v>45200</v>
      </c>
      <c r="B1739">
        <f>YEAR('base-pms_spbrasil'!E1739)</f>
        <v>2023</v>
      </c>
      <c r="C1739">
        <f>MONTH('base-pms_spbrasil'!E1739)</f>
        <v>10</v>
      </c>
      <c r="D1739" s="3" t="str">
        <f>UPPER(TEXT('base-pms_spbrasil'!E1739,"MMMM"))</f>
        <v>OUTUBRO</v>
      </c>
    </row>
    <row r="1740" spans="1:4" x14ac:dyDescent="0.25">
      <c r="A1740" s="1">
        <v>45231</v>
      </c>
      <c r="B1740">
        <f>YEAR('base-pms_spbrasil'!E1740)</f>
        <v>2023</v>
      </c>
      <c r="C1740">
        <f>MONTH('base-pms_spbrasil'!E1740)</f>
        <v>11</v>
      </c>
      <c r="D1740" s="3" t="str">
        <f>UPPER(TEXT('base-pms_spbrasil'!E1740,"MMMM"))</f>
        <v>NOVEMBRO</v>
      </c>
    </row>
    <row r="1741" spans="1:4" x14ac:dyDescent="0.25">
      <c r="A1741" s="1">
        <v>45261</v>
      </c>
      <c r="B1741">
        <f>YEAR('base-pms_spbrasil'!E1741)</f>
        <v>2023</v>
      </c>
      <c r="C1741">
        <f>MONTH('base-pms_spbrasil'!E1741)</f>
        <v>12</v>
      </c>
      <c r="D1741" s="3" t="str">
        <f>UPPER(TEXT('base-pms_spbrasil'!E1741,"MMMM"))</f>
        <v>DEZEMBRO</v>
      </c>
    </row>
    <row r="1742" spans="1:4" x14ac:dyDescent="0.25">
      <c r="A1742" s="1">
        <v>45292</v>
      </c>
      <c r="B1742">
        <f>YEAR('base-pms_spbrasil'!E1742)</f>
        <v>2024</v>
      </c>
      <c r="C1742">
        <f>MONTH('base-pms_spbrasil'!E1742)</f>
        <v>1</v>
      </c>
      <c r="D1742" s="3" t="str">
        <f>UPPER(TEXT('base-pms_spbrasil'!E1742,"MMMM"))</f>
        <v>JANEIRO</v>
      </c>
    </row>
    <row r="1743" spans="1:4" x14ac:dyDescent="0.25">
      <c r="A1743" s="1">
        <v>45323</v>
      </c>
      <c r="B1743">
        <f>YEAR('base-pms_spbrasil'!E1743)</f>
        <v>2024</v>
      </c>
      <c r="C1743">
        <f>MONTH('base-pms_spbrasil'!E1743)</f>
        <v>2</v>
      </c>
      <c r="D1743" s="3" t="str">
        <f>UPPER(TEXT('base-pms_spbrasil'!E1743,"MMMM"))</f>
        <v>FEVEREIRO</v>
      </c>
    </row>
    <row r="1744" spans="1:4" x14ac:dyDescent="0.25">
      <c r="A1744" s="1">
        <v>45352</v>
      </c>
      <c r="B1744">
        <f>YEAR('base-pms_spbrasil'!E1744)</f>
        <v>2024</v>
      </c>
      <c r="C1744">
        <f>MONTH('base-pms_spbrasil'!E1744)</f>
        <v>3</v>
      </c>
      <c r="D1744" s="3" t="str">
        <f>UPPER(TEXT('base-pms_spbrasil'!E1744,"MMMM"))</f>
        <v>MARÇO</v>
      </c>
    </row>
    <row r="1745" spans="1:4" x14ac:dyDescent="0.25">
      <c r="A1745" s="1">
        <v>45383</v>
      </c>
      <c r="B1745">
        <f>YEAR('base-pms_spbrasil'!E1745)</f>
        <v>2024</v>
      </c>
      <c r="C1745">
        <f>MONTH('base-pms_spbrasil'!E1745)</f>
        <v>4</v>
      </c>
      <c r="D1745" s="3" t="str">
        <f>UPPER(TEXT('base-pms_spbrasil'!E1745,"MMMM"))</f>
        <v>ABRIL</v>
      </c>
    </row>
    <row r="1746" spans="1:4" x14ac:dyDescent="0.25">
      <c r="A1746" s="1">
        <v>45413</v>
      </c>
      <c r="B1746">
        <f>YEAR('base-pms_spbrasil'!E1746)</f>
        <v>2024</v>
      </c>
      <c r="C1746">
        <f>MONTH('base-pms_spbrasil'!E1746)</f>
        <v>5</v>
      </c>
      <c r="D1746" s="3" t="str">
        <f>UPPER(TEXT('base-pms_spbrasil'!E1746,"MMMM"))</f>
        <v>MAIO</v>
      </c>
    </row>
    <row r="1747" spans="1:4" x14ac:dyDescent="0.25">
      <c r="A1747" s="1">
        <v>45444</v>
      </c>
      <c r="B1747">
        <f>YEAR('base-pms_spbrasil'!E1747)</f>
        <v>2024</v>
      </c>
      <c r="C1747">
        <f>MONTH('base-pms_spbrasil'!E1747)</f>
        <v>6</v>
      </c>
      <c r="D1747" s="3" t="str">
        <f>UPPER(TEXT('base-pms_spbrasil'!E1747,"MMMM"))</f>
        <v>JUNHO</v>
      </c>
    </row>
    <row r="1748" spans="1:4" x14ac:dyDescent="0.25">
      <c r="A1748" s="1">
        <v>45474</v>
      </c>
      <c r="B1748">
        <f>YEAR('base-pms_spbrasil'!E1748)</f>
        <v>2024</v>
      </c>
      <c r="C1748">
        <f>MONTH('base-pms_spbrasil'!E1748)</f>
        <v>7</v>
      </c>
      <c r="D1748" s="3" t="str">
        <f>UPPER(TEXT('base-pms_spbrasil'!E1748,"MMMM"))</f>
        <v>JULHO</v>
      </c>
    </row>
    <row r="1749" spans="1:4" x14ac:dyDescent="0.25">
      <c r="A1749" s="1">
        <v>45505</v>
      </c>
      <c r="B1749">
        <f>YEAR('base-pms_spbrasil'!E1749)</f>
        <v>2024</v>
      </c>
      <c r="C1749">
        <f>MONTH('base-pms_spbrasil'!E1749)</f>
        <v>8</v>
      </c>
      <c r="D1749" s="3" t="str">
        <f>UPPER(TEXT('base-pms_spbrasil'!E1749,"MMMM"))</f>
        <v>AGOSTO</v>
      </c>
    </row>
    <row r="1750" spans="1:4" x14ac:dyDescent="0.25">
      <c r="A1750" s="1">
        <v>45536</v>
      </c>
      <c r="B1750">
        <f>YEAR('base-pms_spbrasil'!E1750)</f>
        <v>2024</v>
      </c>
      <c r="C1750">
        <f>MONTH('base-pms_spbrasil'!E1750)</f>
        <v>9</v>
      </c>
      <c r="D1750" s="3" t="str">
        <f>UPPER(TEXT('base-pms_spbrasil'!E1750,"MMMM"))</f>
        <v>SETEMBRO</v>
      </c>
    </row>
    <row r="1751" spans="1:4" x14ac:dyDescent="0.25">
      <c r="A1751" s="1">
        <v>45566</v>
      </c>
      <c r="B1751">
        <f>YEAR('base-pms_spbrasil'!E1751)</f>
        <v>2024</v>
      </c>
      <c r="C1751">
        <f>MONTH('base-pms_spbrasil'!E1751)</f>
        <v>10</v>
      </c>
      <c r="D1751" s="3" t="str">
        <f>UPPER(TEXT('base-pms_spbrasil'!E1751,"MMMM"))</f>
        <v>OUTUBRO</v>
      </c>
    </row>
    <row r="1752" spans="1:4" x14ac:dyDescent="0.25">
      <c r="A1752" s="1">
        <v>45597</v>
      </c>
      <c r="B1752">
        <f>YEAR('base-pms_spbrasil'!E1752)</f>
        <v>2024</v>
      </c>
      <c r="C1752">
        <f>MONTH('base-pms_spbrasil'!E1752)</f>
        <v>11</v>
      </c>
      <c r="D1752" s="3" t="str">
        <f>UPPER(TEXT('base-pms_spbrasil'!E1752,"MMMM"))</f>
        <v>NOVEMBRO</v>
      </c>
    </row>
    <row r="1753" spans="1:4" x14ac:dyDescent="0.25">
      <c r="A1753" s="1">
        <v>45627</v>
      </c>
      <c r="B1753">
        <f>YEAR('base-pms_spbrasil'!E1753)</f>
        <v>2024</v>
      </c>
      <c r="C1753">
        <f>MONTH('base-pms_spbrasil'!E1753)</f>
        <v>12</v>
      </c>
      <c r="D1753" s="3" t="str">
        <f>UPPER(TEXT('base-pms_spbrasil'!E1753,"MMMM"))</f>
        <v>DEZEMBRO</v>
      </c>
    </row>
    <row r="1754" spans="1:4" x14ac:dyDescent="0.25">
      <c r="A1754" s="1">
        <v>45658</v>
      </c>
      <c r="B1754">
        <f>YEAR('base-pms_spbrasil'!E1754)</f>
        <v>2025</v>
      </c>
      <c r="C1754">
        <f>MONTH('base-pms_spbrasil'!E1754)</f>
        <v>1</v>
      </c>
      <c r="D1754" s="3" t="str">
        <f>UPPER(TEXT('base-pms_spbrasil'!E1754,"MMMM"))</f>
        <v>JANEIRO</v>
      </c>
    </row>
    <row r="1755" spans="1:4" x14ac:dyDescent="0.25">
      <c r="A1755" s="1">
        <v>45689</v>
      </c>
      <c r="B1755">
        <f>YEAR('base-pms_spbrasil'!E1755)</f>
        <v>2025</v>
      </c>
      <c r="C1755">
        <f>MONTH('base-pms_spbrasil'!E1755)</f>
        <v>2</v>
      </c>
      <c r="D1755" s="3" t="str">
        <f>UPPER(TEXT('base-pms_spbrasil'!E1755,"MMMM"))</f>
        <v>FEVEREIRO</v>
      </c>
    </row>
    <row r="1756" spans="1:4" x14ac:dyDescent="0.25">
      <c r="A1756" s="1">
        <v>45717</v>
      </c>
      <c r="B1756">
        <f>YEAR('base-pms_spbrasil'!E1756)</f>
        <v>2025</v>
      </c>
      <c r="C1756">
        <f>MONTH('base-pms_spbrasil'!E1756)</f>
        <v>3</v>
      </c>
      <c r="D1756" s="3" t="str">
        <f>UPPER(TEXT('base-pms_spbrasil'!E1756,"MMMM"))</f>
        <v>MARÇO</v>
      </c>
    </row>
    <row r="1757" spans="1:4" x14ac:dyDescent="0.25">
      <c r="A1757" s="1">
        <v>45748</v>
      </c>
      <c r="B1757">
        <f>YEAR('base-pms_spbrasil'!E1757)</f>
        <v>2025</v>
      </c>
      <c r="C1757">
        <f>MONTH('base-pms_spbrasil'!E1757)</f>
        <v>4</v>
      </c>
      <c r="D1757" s="3" t="str">
        <f>UPPER(TEXT('base-pms_spbrasil'!E1757,"MMMM"))</f>
        <v>ABRIL</v>
      </c>
    </row>
    <row r="1758" spans="1:4" x14ac:dyDescent="0.25">
      <c r="A1758" s="1">
        <v>45778</v>
      </c>
      <c r="B1758">
        <f>YEAR('base-pms_spbrasil'!E1758)</f>
        <v>2025</v>
      </c>
      <c r="C1758">
        <f>MONTH('base-pms_spbrasil'!E1758)</f>
        <v>5</v>
      </c>
      <c r="D1758" s="3" t="str">
        <f>UPPER(TEXT('base-pms_spbrasil'!E1758,"MMMM"))</f>
        <v>MAIO</v>
      </c>
    </row>
    <row r="1759" spans="1:4" x14ac:dyDescent="0.25">
      <c r="A1759" s="1">
        <v>45809</v>
      </c>
      <c r="B1759">
        <f>YEAR('base-pms_spbrasil'!E1759)</f>
        <v>2025</v>
      </c>
      <c r="C1759">
        <f>MONTH('base-pms_spbrasil'!E1759)</f>
        <v>6</v>
      </c>
      <c r="D1759" s="3" t="str">
        <f>UPPER(TEXT('base-pms_spbrasil'!E1759,"MMMM"))</f>
        <v>JUNHO</v>
      </c>
    </row>
    <row r="1760" spans="1:4" x14ac:dyDescent="0.25">
      <c r="A1760" s="1">
        <v>45839</v>
      </c>
      <c r="B1760">
        <f>YEAR('base-pms_spbrasil'!E1760)</f>
        <v>2025</v>
      </c>
      <c r="C1760">
        <f>MONTH('base-pms_spbrasil'!E1760)</f>
        <v>7</v>
      </c>
      <c r="D1760" s="3" t="str">
        <f>UPPER(TEXT('base-pms_spbrasil'!E1760,"MMMM"))</f>
        <v>JULHO</v>
      </c>
    </row>
    <row r="1761" spans="1:4" x14ac:dyDescent="0.25">
      <c r="A1761" s="1">
        <v>45870</v>
      </c>
      <c r="B1761">
        <f>YEAR('base-pms_spbrasil'!E1761)</f>
        <v>2025</v>
      </c>
      <c r="C1761">
        <f>MONTH('base-pms_spbrasil'!E1761)</f>
        <v>8</v>
      </c>
      <c r="D1761" s="3" t="str">
        <f>UPPER(TEXT('base-pms_spbrasil'!E1761,"MMMM"))</f>
        <v>AGOSTO</v>
      </c>
    </row>
    <row r="1762" spans="1:4" x14ac:dyDescent="0.25">
      <c r="A1762" s="1">
        <v>40544</v>
      </c>
      <c r="B1762">
        <f>YEAR('base-pms_spbrasil'!E1762)</f>
        <v>2011</v>
      </c>
      <c r="C1762">
        <f>MONTH('base-pms_spbrasil'!E1762)</f>
        <v>1</v>
      </c>
      <c r="D1762" s="3" t="str">
        <f>UPPER(TEXT('base-pms_spbrasil'!E1762,"MMMM"))</f>
        <v>JANEIRO</v>
      </c>
    </row>
    <row r="1763" spans="1:4" x14ac:dyDescent="0.25">
      <c r="A1763" s="1">
        <v>40575</v>
      </c>
      <c r="B1763">
        <f>YEAR('base-pms_spbrasil'!E1763)</f>
        <v>2011</v>
      </c>
      <c r="C1763">
        <f>MONTH('base-pms_spbrasil'!E1763)</f>
        <v>2</v>
      </c>
      <c r="D1763" s="3" t="str">
        <f>UPPER(TEXT('base-pms_spbrasil'!E1763,"MMMM"))</f>
        <v>FEVEREIRO</v>
      </c>
    </row>
    <row r="1764" spans="1:4" x14ac:dyDescent="0.25">
      <c r="A1764" s="1">
        <v>40603</v>
      </c>
      <c r="B1764">
        <f>YEAR('base-pms_spbrasil'!E1764)</f>
        <v>2011</v>
      </c>
      <c r="C1764">
        <f>MONTH('base-pms_spbrasil'!E1764)</f>
        <v>3</v>
      </c>
      <c r="D1764" s="3" t="str">
        <f>UPPER(TEXT('base-pms_spbrasil'!E1764,"MMMM"))</f>
        <v>MARÇO</v>
      </c>
    </row>
    <row r="1765" spans="1:4" x14ac:dyDescent="0.25">
      <c r="A1765" s="1">
        <v>40634</v>
      </c>
      <c r="B1765">
        <f>YEAR('base-pms_spbrasil'!E1765)</f>
        <v>2011</v>
      </c>
      <c r="C1765">
        <f>MONTH('base-pms_spbrasil'!E1765)</f>
        <v>4</v>
      </c>
      <c r="D1765" s="3" t="str">
        <f>UPPER(TEXT('base-pms_spbrasil'!E1765,"MMMM"))</f>
        <v>ABRIL</v>
      </c>
    </row>
    <row r="1766" spans="1:4" x14ac:dyDescent="0.25">
      <c r="A1766" s="1">
        <v>40664</v>
      </c>
      <c r="B1766">
        <f>YEAR('base-pms_spbrasil'!E1766)</f>
        <v>2011</v>
      </c>
      <c r="C1766">
        <f>MONTH('base-pms_spbrasil'!E1766)</f>
        <v>5</v>
      </c>
      <c r="D1766" s="3" t="str">
        <f>UPPER(TEXT('base-pms_spbrasil'!E1766,"MMMM"))</f>
        <v>MAIO</v>
      </c>
    </row>
    <row r="1767" spans="1:4" x14ac:dyDescent="0.25">
      <c r="A1767" s="1">
        <v>40695</v>
      </c>
      <c r="B1767">
        <f>YEAR('base-pms_spbrasil'!E1767)</f>
        <v>2011</v>
      </c>
      <c r="C1767">
        <f>MONTH('base-pms_spbrasil'!E1767)</f>
        <v>6</v>
      </c>
      <c r="D1767" s="3" t="str">
        <f>UPPER(TEXT('base-pms_spbrasil'!E1767,"MMMM"))</f>
        <v>JUNHO</v>
      </c>
    </row>
    <row r="1768" spans="1:4" x14ac:dyDescent="0.25">
      <c r="A1768" s="1">
        <v>40725</v>
      </c>
      <c r="B1768">
        <f>YEAR('base-pms_spbrasil'!E1768)</f>
        <v>2011</v>
      </c>
      <c r="C1768">
        <f>MONTH('base-pms_spbrasil'!E1768)</f>
        <v>7</v>
      </c>
      <c r="D1768" s="3" t="str">
        <f>UPPER(TEXT('base-pms_spbrasil'!E1768,"MMMM"))</f>
        <v>JULHO</v>
      </c>
    </row>
    <row r="1769" spans="1:4" x14ac:dyDescent="0.25">
      <c r="A1769" s="1">
        <v>40756</v>
      </c>
      <c r="B1769">
        <f>YEAR('base-pms_spbrasil'!E1769)</f>
        <v>2011</v>
      </c>
      <c r="C1769">
        <f>MONTH('base-pms_spbrasil'!E1769)</f>
        <v>8</v>
      </c>
      <c r="D1769" s="3" t="str">
        <f>UPPER(TEXT('base-pms_spbrasil'!E1769,"MMMM"))</f>
        <v>AGOSTO</v>
      </c>
    </row>
    <row r="1770" spans="1:4" x14ac:dyDescent="0.25">
      <c r="A1770" s="1">
        <v>40787</v>
      </c>
      <c r="B1770">
        <f>YEAR('base-pms_spbrasil'!E1770)</f>
        <v>2011</v>
      </c>
      <c r="C1770">
        <f>MONTH('base-pms_spbrasil'!E1770)</f>
        <v>9</v>
      </c>
      <c r="D1770" s="3" t="str">
        <f>UPPER(TEXT('base-pms_spbrasil'!E1770,"MMMM"))</f>
        <v>SETEMBRO</v>
      </c>
    </row>
    <row r="1771" spans="1:4" x14ac:dyDescent="0.25">
      <c r="A1771" s="1">
        <v>40817</v>
      </c>
      <c r="B1771">
        <f>YEAR('base-pms_spbrasil'!E1771)</f>
        <v>2011</v>
      </c>
      <c r="C1771">
        <f>MONTH('base-pms_spbrasil'!E1771)</f>
        <v>10</v>
      </c>
      <c r="D1771" s="3" t="str">
        <f>UPPER(TEXT('base-pms_spbrasil'!E1771,"MMMM"))</f>
        <v>OUTUBRO</v>
      </c>
    </row>
    <row r="1772" spans="1:4" x14ac:dyDescent="0.25">
      <c r="A1772" s="1">
        <v>40848</v>
      </c>
      <c r="B1772">
        <f>YEAR('base-pms_spbrasil'!E1772)</f>
        <v>2011</v>
      </c>
      <c r="C1772">
        <f>MONTH('base-pms_spbrasil'!E1772)</f>
        <v>11</v>
      </c>
      <c r="D1772" s="3" t="str">
        <f>UPPER(TEXT('base-pms_spbrasil'!E1772,"MMMM"))</f>
        <v>NOVEMBRO</v>
      </c>
    </row>
    <row r="1773" spans="1:4" x14ac:dyDescent="0.25">
      <c r="A1773" s="1">
        <v>40878</v>
      </c>
      <c r="B1773">
        <f>YEAR('base-pms_spbrasil'!E1773)</f>
        <v>2011</v>
      </c>
      <c r="C1773">
        <f>MONTH('base-pms_spbrasil'!E1773)</f>
        <v>12</v>
      </c>
      <c r="D1773" s="3" t="str">
        <f>UPPER(TEXT('base-pms_spbrasil'!E1773,"MMMM"))</f>
        <v>DEZEMBRO</v>
      </c>
    </row>
    <row r="1774" spans="1:4" x14ac:dyDescent="0.25">
      <c r="A1774" s="1">
        <v>40909</v>
      </c>
      <c r="B1774">
        <f>YEAR('base-pms_spbrasil'!E1774)</f>
        <v>2012</v>
      </c>
      <c r="C1774">
        <f>MONTH('base-pms_spbrasil'!E1774)</f>
        <v>1</v>
      </c>
      <c r="D1774" s="3" t="str">
        <f>UPPER(TEXT('base-pms_spbrasil'!E1774,"MMMM"))</f>
        <v>JANEIRO</v>
      </c>
    </row>
    <row r="1775" spans="1:4" x14ac:dyDescent="0.25">
      <c r="A1775" s="1">
        <v>40940</v>
      </c>
      <c r="B1775">
        <f>YEAR('base-pms_spbrasil'!E1775)</f>
        <v>2012</v>
      </c>
      <c r="C1775">
        <f>MONTH('base-pms_spbrasil'!E1775)</f>
        <v>2</v>
      </c>
      <c r="D1775" s="3" t="str">
        <f>UPPER(TEXT('base-pms_spbrasil'!E1775,"MMMM"))</f>
        <v>FEVEREIRO</v>
      </c>
    </row>
    <row r="1776" spans="1:4" x14ac:dyDescent="0.25">
      <c r="A1776" s="1">
        <v>40969</v>
      </c>
      <c r="B1776">
        <f>YEAR('base-pms_spbrasil'!E1776)</f>
        <v>2012</v>
      </c>
      <c r="C1776">
        <f>MONTH('base-pms_spbrasil'!E1776)</f>
        <v>3</v>
      </c>
      <c r="D1776" s="3" t="str">
        <f>UPPER(TEXT('base-pms_spbrasil'!E1776,"MMMM"))</f>
        <v>MARÇO</v>
      </c>
    </row>
    <row r="1777" spans="1:4" x14ac:dyDescent="0.25">
      <c r="A1777" s="1">
        <v>41000</v>
      </c>
      <c r="B1777">
        <f>YEAR('base-pms_spbrasil'!E1777)</f>
        <v>2012</v>
      </c>
      <c r="C1777">
        <f>MONTH('base-pms_spbrasil'!E1777)</f>
        <v>4</v>
      </c>
      <c r="D1777" s="3" t="str">
        <f>UPPER(TEXT('base-pms_spbrasil'!E1777,"MMMM"))</f>
        <v>ABRIL</v>
      </c>
    </row>
    <row r="1778" spans="1:4" x14ac:dyDescent="0.25">
      <c r="A1778" s="1">
        <v>41030</v>
      </c>
      <c r="B1778">
        <f>YEAR('base-pms_spbrasil'!E1778)</f>
        <v>2012</v>
      </c>
      <c r="C1778">
        <f>MONTH('base-pms_spbrasil'!E1778)</f>
        <v>5</v>
      </c>
      <c r="D1778" s="3" t="str">
        <f>UPPER(TEXT('base-pms_spbrasil'!E1778,"MMMM"))</f>
        <v>MAIO</v>
      </c>
    </row>
    <row r="1779" spans="1:4" x14ac:dyDescent="0.25">
      <c r="A1779" s="1">
        <v>41061</v>
      </c>
      <c r="B1779">
        <f>YEAR('base-pms_spbrasil'!E1779)</f>
        <v>2012</v>
      </c>
      <c r="C1779">
        <f>MONTH('base-pms_spbrasil'!E1779)</f>
        <v>6</v>
      </c>
      <c r="D1779" s="3" t="str">
        <f>UPPER(TEXT('base-pms_spbrasil'!E1779,"MMMM"))</f>
        <v>JUNHO</v>
      </c>
    </row>
    <row r="1780" spans="1:4" x14ac:dyDescent="0.25">
      <c r="A1780" s="1">
        <v>41091</v>
      </c>
      <c r="B1780">
        <f>YEAR('base-pms_spbrasil'!E1780)</f>
        <v>2012</v>
      </c>
      <c r="C1780">
        <f>MONTH('base-pms_spbrasil'!E1780)</f>
        <v>7</v>
      </c>
      <c r="D1780" s="3" t="str">
        <f>UPPER(TEXT('base-pms_spbrasil'!E1780,"MMMM"))</f>
        <v>JULHO</v>
      </c>
    </row>
    <row r="1781" spans="1:4" x14ac:dyDescent="0.25">
      <c r="A1781" s="1">
        <v>41122</v>
      </c>
      <c r="B1781">
        <f>YEAR('base-pms_spbrasil'!E1781)</f>
        <v>2012</v>
      </c>
      <c r="C1781">
        <f>MONTH('base-pms_spbrasil'!E1781)</f>
        <v>8</v>
      </c>
      <c r="D1781" s="3" t="str">
        <f>UPPER(TEXT('base-pms_spbrasil'!E1781,"MMMM"))</f>
        <v>AGOSTO</v>
      </c>
    </row>
    <row r="1782" spans="1:4" x14ac:dyDescent="0.25">
      <c r="A1782" s="1">
        <v>41153</v>
      </c>
      <c r="B1782">
        <f>YEAR('base-pms_spbrasil'!E1782)</f>
        <v>2012</v>
      </c>
      <c r="C1782">
        <f>MONTH('base-pms_spbrasil'!E1782)</f>
        <v>9</v>
      </c>
      <c r="D1782" s="3" t="str">
        <f>UPPER(TEXT('base-pms_spbrasil'!E1782,"MMMM"))</f>
        <v>SETEMBRO</v>
      </c>
    </row>
    <row r="1783" spans="1:4" x14ac:dyDescent="0.25">
      <c r="A1783" s="1">
        <v>41183</v>
      </c>
      <c r="B1783">
        <f>YEAR('base-pms_spbrasil'!E1783)</f>
        <v>2012</v>
      </c>
      <c r="C1783">
        <f>MONTH('base-pms_spbrasil'!E1783)</f>
        <v>10</v>
      </c>
      <c r="D1783" s="3" t="str">
        <f>UPPER(TEXT('base-pms_spbrasil'!E1783,"MMMM"))</f>
        <v>OUTUBRO</v>
      </c>
    </row>
    <row r="1784" spans="1:4" x14ac:dyDescent="0.25">
      <c r="A1784" s="1">
        <v>41214</v>
      </c>
      <c r="B1784">
        <f>YEAR('base-pms_spbrasil'!E1784)</f>
        <v>2012</v>
      </c>
      <c r="C1784">
        <f>MONTH('base-pms_spbrasil'!E1784)</f>
        <v>11</v>
      </c>
      <c r="D1784" s="3" t="str">
        <f>UPPER(TEXT('base-pms_spbrasil'!E1784,"MMMM"))</f>
        <v>NOVEMBRO</v>
      </c>
    </row>
    <row r="1785" spans="1:4" x14ac:dyDescent="0.25">
      <c r="A1785" s="1">
        <v>41244</v>
      </c>
      <c r="B1785">
        <f>YEAR('base-pms_spbrasil'!E1785)</f>
        <v>2012</v>
      </c>
      <c r="C1785">
        <f>MONTH('base-pms_spbrasil'!E1785)</f>
        <v>12</v>
      </c>
      <c r="D1785" s="3" t="str">
        <f>UPPER(TEXT('base-pms_spbrasil'!E1785,"MMMM"))</f>
        <v>DEZEMBRO</v>
      </c>
    </row>
    <row r="1786" spans="1:4" x14ac:dyDescent="0.25">
      <c r="A1786" s="1">
        <v>41275</v>
      </c>
      <c r="B1786">
        <f>YEAR('base-pms_spbrasil'!E1786)</f>
        <v>2013</v>
      </c>
      <c r="C1786">
        <f>MONTH('base-pms_spbrasil'!E1786)</f>
        <v>1</v>
      </c>
      <c r="D1786" s="3" t="str">
        <f>UPPER(TEXT('base-pms_spbrasil'!E1786,"MMMM"))</f>
        <v>JANEIRO</v>
      </c>
    </row>
    <row r="1787" spans="1:4" x14ac:dyDescent="0.25">
      <c r="A1787" s="1">
        <v>41306</v>
      </c>
      <c r="B1787">
        <f>YEAR('base-pms_spbrasil'!E1787)</f>
        <v>2013</v>
      </c>
      <c r="C1787">
        <f>MONTH('base-pms_spbrasil'!E1787)</f>
        <v>2</v>
      </c>
      <c r="D1787" s="3" t="str">
        <f>UPPER(TEXT('base-pms_spbrasil'!E1787,"MMMM"))</f>
        <v>FEVEREIRO</v>
      </c>
    </row>
    <row r="1788" spans="1:4" x14ac:dyDescent="0.25">
      <c r="A1788" s="1">
        <v>41334</v>
      </c>
      <c r="B1788">
        <f>YEAR('base-pms_spbrasil'!E1788)</f>
        <v>2013</v>
      </c>
      <c r="C1788">
        <f>MONTH('base-pms_spbrasil'!E1788)</f>
        <v>3</v>
      </c>
      <c r="D1788" s="3" t="str">
        <f>UPPER(TEXT('base-pms_spbrasil'!E1788,"MMMM"))</f>
        <v>MARÇO</v>
      </c>
    </row>
    <row r="1789" spans="1:4" x14ac:dyDescent="0.25">
      <c r="A1789" s="1">
        <v>41365</v>
      </c>
      <c r="B1789">
        <f>YEAR('base-pms_spbrasil'!E1789)</f>
        <v>2013</v>
      </c>
      <c r="C1789">
        <f>MONTH('base-pms_spbrasil'!E1789)</f>
        <v>4</v>
      </c>
      <c r="D1789" s="3" t="str">
        <f>UPPER(TEXT('base-pms_spbrasil'!E1789,"MMMM"))</f>
        <v>ABRIL</v>
      </c>
    </row>
    <row r="1790" spans="1:4" x14ac:dyDescent="0.25">
      <c r="A1790" s="1">
        <v>41395</v>
      </c>
      <c r="B1790">
        <f>YEAR('base-pms_spbrasil'!E1790)</f>
        <v>2013</v>
      </c>
      <c r="C1790">
        <f>MONTH('base-pms_spbrasil'!E1790)</f>
        <v>5</v>
      </c>
      <c r="D1790" s="3" t="str">
        <f>UPPER(TEXT('base-pms_spbrasil'!E1790,"MMMM"))</f>
        <v>MAIO</v>
      </c>
    </row>
    <row r="1791" spans="1:4" x14ac:dyDescent="0.25">
      <c r="A1791" s="1">
        <v>41426</v>
      </c>
      <c r="B1791">
        <f>YEAR('base-pms_spbrasil'!E1791)</f>
        <v>2013</v>
      </c>
      <c r="C1791">
        <f>MONTH('base-pms_spbrasil'!E1791)</f>
        <v>6</v>
      </c>
      <c r="D1791" s="3" t="str">
        <f>UPPER(TEXT('base-pms_spbrasil'!E1791,"MMMM"))</f>
        <v>JUNHO</v>
      </c>
    </row>
    <row r="1792" spans="1:4" x14ac:dyDescent="0.25">
      <c r="A1792" s="1">
        <v>41456</v>
      </c>
      <c r="B1792">
        <f>YEAR('base-pms_spbrasil'!E1792)</f>
        <v>2013</v>
      </c>
      <c r="C1792">
        <f>MONTH('base-pms_spbrasil'!E1792)</f>
        <v>7</v>
      </c>
      <c r="D1792" s="3" t="str">
        <f>UPPER(TEXT('base-pms_spbrasil'!E1792,"MMMM"))</f>
        <v>JULHO</v>
      </c>
    </row>
    <row r="1793" spans="1:4" x14ac:dyDescent="0.25">
      <c r="A1793" s="1">
        <v>41487</v>
      </c>
      <c r="B1793">
        <f>YEAR('base-pms_spbrasil'!E1793)</f>
        <v>2013</v>
      </c>
      <c r="C1793">
        <f>MONTH('base-pms_spbrasil'!E1793)</f>
        <v>8</v>
      </c>
      <c r="D1793" s="3" t="str">
        <f>UPPER(TEXT('base-pms_spbrasil'!E1793,"MMMM"))</f>
        <v>AGOSTO</v>
      </c>
    </row>
    <row r="1794" spans="1:4" x14ac:dyDescent="0.25">
      <c r="A1794" s="1">
        <v>41518</v>
      </c>
      <c r="B1794">
        <f>YEAR('base-pms_spbrasil'!E1794)</f>
        <v>2013</v>
      </c>
      <c r="C1794">
        <f>MONTH('base-pms_spbrasil'!E1794)</f>
        <v>9</v>
      </c>
      <c r="D1794" s="3" t="str">
        <f>UPPER(TEXT('base-pms_spbrasil'!E1794,"MMMM"))</f>
        <v>SETEMBRO</v>
      </c>
    </row>
    <row r="1795" spans="1:4" x14ac:dyDescent="0.25">
      <c r="A1795" s="1">
        <v>41548</v>
      </c>
      <c r="B1795">
        <f>YEAR('base-pms_spbrasil'!E1795)</f>
        <v>2013</v>
      </c>
      <c r="C1795">
        <f>MONTH('base-pms_spbrasil'!E1795)</f>
        <v>10</v>
      </c>
      <c r="D1795" s="3" t="str">
        <f>UPPER(TEXT('base-pms_spbrasil'!E1795,"MMMM"))</f>
        <v>OUTUBRO</v>
      </c>
    </row>
    <row r="1796" spans="1:4" x14ac:dyDescent="0.25">
      <c r="A1796" s="1">
        <v>41579</v>
      </c>
      <c r="B1796">
        <f>YEAR('base-pms_spbrasil'!E1796)</f>
        <v>2013</v>
      </c>
      <c r="C1796">
        <f>MONTH('base-pms_spbrasil'!E1796)</f>
        <v>11</v>
      </c>
      <c r="D1796" s="3" t="str">
        <f>UPPER(TEXT('base-pms_spbrasil'!E1796,"MMMM"))</f>
        <v>NOVEMBRO</v>
      </c>
    </row>
    <row r="1797" spans="1:4" x14ac:dyDescent="0.25">
      <c r="A1797" s="1">
        <v>41609</v>
      </c>
      <c r="B1797">
        <f>YEAR('base-pms_spbrasil'!E1797)</f>
        <v>2013</v>
      </c>
      <c r="C1797">
        <f>MONTH('base-pms_spbrasil'!E1797)</f>
        <v>12</v>
      </c>
      <c r="D1797" s="3" t="str">
        <f>UPPER(TEXT('base-pms_spbrasil'!E1797,"MMMM"))</f>
        <v>DEZEMBRO</v>
      </c>
    </row>
    <row r="1798" spans="1:4" x14ac:dyDescent="0.25">
      <c r="A1798" s="1">
        <v>41640</v>
      </c>
      <c r="B1798">
        <f>YEAR('base-pms_spbrasil'!E1798)</f>
        <v>2014</v>
      </c>
      <c r="C1798">
        <f>MONTH('base-pms_spbrasil'!E1798)</f>
        <v>1</v>
      </c>
      <c r="D1798" s="3" t="str">
        <f>UPPER(TEXT('base-pms_spbrasil'!E1798,"MMMM"))</f>
        <v>JANEIRO</v>
      </c>
    </row>
    <row r="1799" spans="1:4" x14ac:dyDescent="0.25">
      <c r="A1799" s="1">
        <v>41671</v>
      </c>
      <c r="B1799">
        <f>YEAR('base-pms_spbrasil'!E1799)</f>
        <v>2014</v>
      </c>
      <c r="C1799">
        <f>MONTH('base-pms_spbrasil'!E1799)</f>
        <v>2</v>
      </c>
      <c r="D1799" s="3" t="str">
        <f>UPPER(TEXT('base-pms_spbrasil'!E1799,"MMMM"))</f>
        <v>FEVEREIRO</v>
      </c>
    </row>
    <row r="1800" spans="1:4" x14ac:dyDescent="0.25">
      <c r="A1800" s="1">
        <v>41699</v>
      </c>
      <c r="B1800">
        <f>YEAR('base-pms_spbrasil'!E1800)</f>
        <v>2014</v>
      </c>
      <c r="C1800">
        <f>MONTH('base-pms_spbrasil'!E1800)</f>
        <v>3</v>
      </c>
      <c r="D1800" s="3" t="str">
        <f>UPPER(TEXT('base-pms_spbrasil'!E1800,"MMMM"))</f>
        <v>MARÇO</v>
      </c>
    </row>
    <row r="1801" spans="1:4" x14ac:dyDescent="0.25">
      <c r="A1801" s="1">
        <v>41730</v>
      </c>
      <c r="B1801">
        <f>YEAR('base-pms_spbrasil'!E1801)</f>
        <v>2014</v>
      </c>
      <c r="C1801">
        <f>MONTH('base-pms_spbrasil'!E1801)</f>
        <v>4</v>
      </c>
      <c r="D1801" s="3" t="str">
        <f>UPPER(TEXT('base-pms_spbrasil'!E1801,"MMMM"))</f>
        <v>ABRIL</v>
      </c>
    </row>
    <row r="1802" spans="1:4" x14ac:dyDescent="0.25">
      <c r="A1802" s="1">
        <v>41760</v>
      </c>
      <c r="B1802">
        <f>YEAR('base-pms_spbrasil'!E1802)</f>
        <v>2014</v>
      </c>
      <c r="C1802">
        <f>MONTH('base-pms_spbrasil'!E1802)</f>
        <v>5</v>
      </c>
      <c r="D1802" s="3" t="str">
        <f>UPPER(TEXT('base-pms_spbrasil'!E1802,"MMMM"))</f>
        <v>MAIO</v>
      </c>
    </row>
    <row r="1803" spans="1:4" x14ac:dyDescent="0.25">
      <c r="A1803" s="1">
        <v>41791</v>
      </c>
      <c r="B1803">
        <f>YEAR('base-pms_spbrasil'!E1803)</f>
        <v>2014</v>
      </c>
      <c r="C1803">
        <f>MONTH('base-pms_spbrasil'!E1803)</f>
        <v>6</v>
      </c>
      <c r="D1803" s="3" t="str">
        <f>UPPER(TEXT('base-pms_spbrasil'!E1803,"MMMM"))</f>
        <v>JUNHO</v>
      </c>
    </row>
    <row r="1804" spans="1:4" x14ac:dyDescent="0.25">
      <c r="A1804" s="1">
        <v>41821</v>
      </c>
      <c r="B1804">
        <f>YEAR('base-pms_spbrasil'!E1804)</f>
        <v>2014</v>
      </c>
      <c r="C1804">
        <f>MONTH('base-pms_spbrasil'!E1804)</f>
        <v>7</v>
      </c>
      <c r="D1804" s="3" t="str">
        <f>UPPER(TEXT('base-pms_spbrasil'!E1804,"MMMM"))</f>
        <v>JULHO</v>
      </c>
    </row>
    <row r="1805" spans="1:4" x14ac:dyDescent="0.25">
      <c r="A1805" s="1">
        <v>41852</v>
      </c>
      <c r="B1805">
        <f>YEAR('base-pms_spbrasil'!E1805)</f>
        <v>2014</v>
      </c>
      <c r="C1805">
        <f>MONTH('base-pms_spbrasil'!E1805)</f>
        <v>8</v>
      </c>
      <c r="D1805" s="3" t="str">
        <f>UPPER(TEXT('base-pms_spbrasil'!E1805,"MMMM"))</f>
        <v>AGOSTO</v>
      </c>
    </row>
    <row r="1806" spans="1:4" x14ac:dyDescent="0.25">
      <c r="A1806" s="1">
        <v>41883</v>
      </c>
      <c r="B1806">
        <f>YEAR('base-pms_spbrasil'!E1806)</f>
        <v>2014</v>
      </c>
      <c r="C1806">
        <f>MONTH('base-pms_spbrasil'!E1806)</f>
        <v>9</v>
      </c>
      <c r="D1806" s="3" t="str">
        <f>UPPER(TEXT('base-pms_spbrasil'!E1806,"MMMM"))</f>
        <v>SETEMBRO</v>
      </c>
    </row>
    <row r="1807" spans="1:4" x14ac:dyDescent="0.25">
      <c r="A1807" s="1">
        <v>41913</v>
      </c>
      <c r="B1807">
        <f>YEAR('base-pms_spbrasil'!E1807)</f>
        <v>2014</v>
      </c>
      <c r="C1807">
        <f>MONTH('base-pms_spbrasil'!E1807)</f>
        <v>10</v>
      </c>
      <c r="D1807" s="3" t="str">
        <f>UPPER(TEXT('base-pms_spbrasil'!E1807,"MMMM"))</f>
        <v>OUTUBRO</v>
      </c>
    </row>
    <row r="1808" spans="1:4" x14ac:dyDescent="0.25">
      <c r="A1808" s="1">
        <v>41944</v>
      </c>
      <c r="B1808">
        <f>YEAR('base-pms_spbrasil'!E1808)</f>
        <v>2014</v>
      </c>
      <c r="C1808">
        <f>MONTH('base-pms_spbrasil'!E1808)</f>
        <v>11</v>
      </c>
      <c r="D1808" s="3" t="str">
        <f>UPPER(TEXT('base-pms_spbrasil'!E1808,"MMMM"))</f>
        <v>NOVEMBRO</v>
      </c>
    </row>
    <row r="1809" spans="1:4" x14ac:dyDescent="0.25">
      <c r="A1809" s="1">
        <v>41974</v>
      </c>
      <c r="B1809">
        <f>YEAR('base-pms_spbrasil'!E1809)</f>
        <v>2014</v>
      </c>
      <c r="C1809">
        <f>MONTH('base-pms_spbrasil'!E1809)</f>
        <v>12</v>
      </c>
      <c r="D1809" s="3" t="str">
        <f>UPPER(TEXT('base-pms_spbrasil'!E1809,"MMMM"))</f>
        <v>DEZEMBRO</v>
      </c>
    </row>
    <row r="1810" spans="1:4" x14ac:dyDescent="0.25">
      <c r="A1810" s="1">
        <v>42005</v>
      </c>
      <c r="B1810">
        <f>YEAR('base-pms_spbrasil'!E1810)</f>
        <v>2015</v>
      </c>
      <c r="C1810">
        <f>MONTH('base-pms_spbrasil'!E1810)</f>
        <v>1</v>
      </c>
      <c r="D1810" s="3" t="str">
        <f>UPPER(TEXT('base-pms_spbrasil'!E1810,"MMMM"))</f>
        <v>JANEIRO</v>
      </c>
    </row>
    <row r="1811" spans="1:4" x14ac:dyDescent="0.25">
      <c r="A1811" s="1">
        <v>42036</v>
      </c>
      <c r="B1811">
        <f>YEAR('base-pms_spbrasil'!E1811)</f>
        <v>2015</v>
      </c>
      <c r="C1811">
        <f>MONTH('base-pms_spbrasil'!E1811)</f>
        <v>2</v>
      </c>
      <c r="D1811" s="3" t="str">
        <f>UPPER(TEXT('base-pms_spbrasil'!E1811,"MMMM"))</f>
        <v>FEVEREIRO</v>
      </c>
    </row>
    <row r="1812" spans="1:4" x14ac:dyDescent="0.25">
      <c r="A1812" s="1">
        <v>42064</v>
      </c>
      <c r="B1812">
        <f>YEAR('base-pms_spbrasil'!E1812)</f>
        <v>2015</v>
      </c>
      <c r="C1812">
        <f>MONTH('base-pms_spbrasil'!E1812)</f>
        <v>3</v>
      </c>
      <c r="D1812" s="3" t="str">
        <f>UPPER(TEXT('base-pms_spbrasil'!E1812,"MMMM"))</f>
        <v>MARÇO</v>
      </c>
    </row>
    <row r="1813" spans="1:4" x14ac:dyDescent="0.25">
      <c r="A1813" s="1">
        <v>42095</v>
      </c>
      <c r="B1813">
        <f>YEAR('base-pms_spbrasil'!E1813)</f>
        <v>2015</v>
      </c>
      <c r="C1813">
        <f>MONTH('base-pms_spbrasil'!E1813)</f>
        <v>4</v>
      </c>
      <c r="D1813" s="3" t="str">
        <f>UPPER(TEXT('base-pms_spbrasil'!E1813,"MMMM"))</f>
        <v>ABRIL</v>
      </c>
    </row>
    <row r="1814" spans="1:4" x14ac:dyDescent="0.25">
      <c r="A1814" s="1">
        <v>42125</v>
      </c>
      <c r="B1814">
        <f>YEAR('base-pms_spbrasil'!E1814)</f>
        <v>2015</v>
      </c>
      <c r="C1814">
        <f>MONTH('base-pms_spbrasil'!E1814)</f>
        <v>5</v>
      </c>
      <c r="D1814" s="3" t="str">
        <f>UPPER(TEXT('base-pms_spbrasil'!E1814,"MMMM"))</f>
        <v>MAIO</v>
      </c>
    </row>
    <row r="1815" spans="1:4" x14ac:dyDescent="0.25">
      <c r="A1815" s="1">
        <v>42156</v>
      </c>
      <c r="B1815">
        <f>YEAR('base-pms_spbrasil'!E1815)</f>
        <v>2015</v>
      </c>
      <c r="C1815">
        <f>MONTH('base-pms_spbrasil'!E1815)</f>
        <v>6</v>
      </c>
      <c r="D1815" s="3" t="str">
        <f>UPPER(TEXT('base-pms_spbrasil'!E1815,"MMMM"))</f>
        <v>JUNHO</v>
      </c>
    </row>
    <row r="1816" spans="1:4" x14ac:dyDescent="0.25">
      <c r="A1816" s="1">
        <v>42186</v>
      </c>
      <c r="B1816">
        <f>YEAR('base-pms_spbrasil'!E1816)</f>
        <v>2015</v>
      </c>
      <c r="C1816">
        <f>MONTH('base-pms_spbrasil'!E1816)</f>
        <v>7</v>
      </c>
      <c r="D1816" s="3" t="str">
        <f>UPPER(TEXT('base-pms_spbrasil'!E1816,"MMMM"))</f>
        <v>JULHO</v>
      </c>
    </row>
    <row r="1817" spans="1:4" x14ac:dyDescent="0.25">
      <c r="A1817" s="1">
        <v>42217</v>
      </c>
      <c r="B1817">
        <f>YEAR('base-pms_spbrasil'!E1817)</f>
        <v>2015</v>
      </c>
      <c r="C1817">
        <f>MONTH('base-pms_spbrasil'!E1817)</f>
        <v>8</v>
      </c>
      <c r="D1817" s="3" t="str">
        <f>UPPER(TEXT('base-pms_spbrasil'!E1817,"MMMM"))</f>
        <v>AGOSTO</v>
      </c>
    </row>
    <row r="1818" spans="1:4" x14ac:dyDescent="0.25">
      <c r="A1818" s="1">
        <v>42248</v>
      </c>
      <c r="B1818">
        <f>YEAR('base-pms_spbrasil'!E1818)</f>
        <v>2015</v>
      </c>
      <c r="C1818">
        <f>MONTH('base-pms_spbrasil'!E1818)</f>
        <v>9</v>
      </c>
      <c r="D1818" s="3" t="str">
        <f>UPPER(TEXT('base-pms_spbrasil'!E1818,"MMMM"))</f>
        <v>SETEMBRO</v>
      </c>
    </row>
    <row r="1819" spans="1:4" x14ac:dyDescent="0.25">
      <c r="A1819" s="1">
        <v>42278</v>
      </c>
      <c r="B1819">
        <f>YEAR('base-pms_spbrasil'!E1819)</f>
        <v>2015</v>
      </c>
      <c r="C1819">
        <f>MONTH('base-pms_spbrasil'!E1819)</f>
        <v>10</v>
      </c>
      <c r="D1819" s="3" t="str">
        <f>UPPER(TEXT('base-pms_spbrasil'!E1819,"MMMM"))</f>
        <v>OUTUBRO</v>
      </c>
    </row>
    <row r="1820" spans="1:4" x14ac:dyDescent="0.25">
      <c r="A1820" s="1">
        <v>42309</v>
      </c>
      <c r="B1820">
        <f>YEAR('base-pms_spbrasil'!E1820)</f>
        <v>2015</v>
      </c>
      <c r="C1820">
        <f>MONTH('base-pms_spbrasil'!E1820)</f>
        <v>11</v>
      </c>
      <c r="D1820" s="3" t="str">
        <f>UPPER(TEXT('base-pms_spbrasil'!E1820,"MMMM"))</f>
        <v>NOVEMBRO</v>
      </c>
    </row>
    <row r="1821" spans="1:4" x14ac:dyDescent="0.25">
      <c r="A1821" s="1">
        <v>42339</v>
      </c>
      <c r="B1821">
        <f>YEAR('base-pms_spbrasil'!E1821)</f>
        <v>2015</v>
      </c>
      <c r="C1821">
        <f>MONTH('base-pms_spbrasil'!E1821)</f>
        <v>12</v>
      </c>
      <c r="D1821" s="3" t="str">
        <f>UPPER(TEXT('base-pms_spbrasil'!E1821,"MMMM"))</f>
        <v>DEZEMBRO</v>
      </c>
    </row>
    <row r="1822" spans="1:4" x14ac:dyDescent="0.25">
      <c r="A1822" s="1">
        <v>42370</v>
      </c>
      <c r="B1822">
        <f>YEAR('base-pms_spbrasil'!E1822)</f>
        <v>2016</v>
      </c>
      <c r="C1822">
        <f>MONTH('base-pms_spbrasil'!E1822)</f>
        <v>1</v>
      </c>
      <c r="D1822" s="3" t="str">
        <f>UPPER(TEXT('base-pms_spbrasil'!E1822,"MMMM"))</f>
        <v>JANEIRO</v>
      </c>
    </row>
    <row r="1823" spans="1:4" x14ac:dyDescent="0.25">
      <c r="A1823" s="1">
        <v>42401</v>
      </c>
      <c r="B1823">
        <f>YEAR('base-pms_spbrasil'!E1823)</f>
        <v>2016</v>
      </c>
      <c r="C1823">
        <f>MONTH('base-pms_spbrasil'!E1823)</f>
        <v>2</v>
      </c>
      <c r="D1823" s="3" t="str">
        <f>UPPER(TEXT('base-pms_spbrasil'!E1823,"MMMM"))</f>
        <v>FEVEREIRO</v>
      </c>
    </row>
    <row r="1824" spans="1:4" x14ac:dyDescent="0.25">
      <c r="A1824" s="1">
        <v>42430</v>
      </c>
      <c r="B1824">
        <f>YEAR('base-pms_spbrasil'!E1824)</f>
        <v>2016</v>
      </c>
      <c r="C1824">
        <f>MONTH('base-pms_spbrasil'!E1824)</f>
        <v>3</v>
      </c>
      <c r="D1824" s="3" t="str">
        <f>UPPER(TEXT('base-pms_spbrasil'!E1824,"MMMM"))</f>
        <v>MARÇO</v>
      </c>
    </row>
    <row r="1825" spans="1:4" x14ac:dyDescent="0.25">
      <c r="A1825" s="1">
        <v>42461</v>
      </c>
      <c r="B1825">
        <f>YEAR('base-pms_spbrasil'!E1825)</f>
        <v>2016</v>
      </c>
      <c r="C1825">
        <f>MONTH('base-pms_spbrasil'!E1825)</f>
        <v>4</v>
      </c>
      <c r="D1825" s="3" t="str">
        <f>UPPER(TEXT('base-pms_spbrasil'!E1825,"MMMM"))</f>
        <v>ABRIL</v>
      </c>
    </row>
    <row r="1826" spans="1:4" x14ac:dyDescent="0.25">
      <c r="A1826" s="1">
        <v>42491</v>
      </c>
      <c r="B1826">
        <f>YEAR('base-pms_spbrasil'!E1826)</f>
        <v>2016</v>
      </c>
      <c r="C1826">
        <f>MONTH('base-pms_spbrasil'!E1826)</f>
        <v>5</v>
      </c>
      <c r="D1826" s="3" t="str">
        <f>UPPER(TEXT('base-pms_spbrasil'!E1826,"MMMM"))</f>
        <v>MAIO</v>
      </c>
    </row>
    <row r="1827" spans="1:4" x14ac:dyDescent="0.25">
      <c r="A1827" s="1">
        <v>42522</v>
      </c>
      <c r="B1827">
        <f>YEAR('base-pms_spbrasil'!E1827)</f>
        <v>2016</v>
      </c>
      <c r="C1827">
        <f>MONTH('base-pms_spbrasil'!E1827)</f>
        <v>6</v>
      </c>
      <c r="D1827" s="3" t="str">
        <f>UPPER(TEXT('base-pms_spbrasil'!E1827,"MMMM"))</f>
        <v>JUNHO</v>
      </c>
    </row>
    <row r="1828" spans="1:4" x14ac:dyDescent="0.25">
      <c r="A1828" s="1">
        <v>42552</v>
      </c>
      <c r="B1828">
        <f>YEAR('base-pms_spbrasil'!E1828)</f>
        <v>2016</v>
      </c>
      <c r="C1828">
        <f>MONTH('base-pms_spbrasil'!E1828)</f>
        <v>7</v>
      </c>
      <c r="D1828" s="3" t="str">
        <f>UPPER(TEXT('base-pms_spbrasil'!E1828,"MMMM"))</f>
        <v>JULHO</v>
      </c>
    </row>
    <row r="1829" spans="1:4" x14ac:dyDescent="0.25">
      <c r="A1829" s="1">
        <v>42583</v>
      </c>
      <c r="B1829">
        <f>YEAR('base-pms_spbrasil'!E1829)</f>
        <v>2016</v>
      </c>
      <c r="C1829">
        <f>MONTH('base-pms_spbrasil'!E1829)</f>
        <v>8</v>
      </c>
      <c r="D1829" s="3" t="str">
        <f>UPPER(TEXT('base-pms_spbrasil'!E1829,"MMMM"))</f>
        <v>AGOSTO</v>
      </c>
    </row>
    <row r="1830" spans="1:4" x14ac:dyDescent="0.25">
      <c r="A1830" s="1">
        <v>42614</v>
      </c>
      <c r="B1830">
        <f>YEAR('base-pms_spbrasil'!E1830)</f>
        <v>2016</v>
      </c>
      <c r="C1830">
        <f>MONTH('base-pms_spbrasil'!E1830)</f>
        <v>9</v>
      </c>
      <c r="D1830" s="3" t="str">
        <f>UPPER(TEXT('base-pms_spbrasil'!E1830,"MMMM"))</f>
        <v>SETEMBRO</v>
      </c>
    </row>
    <row r="1831" spans="1:4" x14ac:dyDescent="0.25">
      <c r="A1831" s="1">
        <v>42644</v>
      </c>
      <c r="B1831">
        <f>YEAR('base-pms_spbrasil'!E1831)</f>
        <v>2016</v>
      </c>
      <c r="C1831">
        <f>MONTH('base-pms_spbrasil'!E1831)</f>
        <v>10</v>
      </c>
      <c r="D1831" s="3" t="str">
        <f>UPPER(TEXT('base-pms_spbrasil'!E1831,"MMMM"))</f>
        <v>OUTUBRO</v>
      </c>
    </row>
    <row r="1832" spans="1:4" x14ac:dyDescent="0.25">
      <c r="A1832" s="1">
        <v>42675</v>
      </c>
      <c r="B1832">
        <f>YEAR('base-pms_spbrasil'!E1832)</f>
        <v>2016</v>
      </c>
      <c r="C1832">
        <f>MONTH('base-pms_spbrasil'!E1832)</f>
        <v>11</v>
      </c>
      <c r="D1832" s="3" t="str">
        <f>UPPER(TEXT('base-pms_spbrasil'!E1832,"MMMM"))</f>
        <v>NOVEMBRO</v>
      </c>
    </row>
    <row r="1833" spans="1:4" x14ac:dyDescent="0.25">
      <c r="A1833" s="1">
        <v>42705</v>
      </c>
      <c r="B1833">
        <f>YEAR('base-pms_spbrasil'!E1833)</f>
        <v>2016</v>
      </c>
      <c r="C1833">
        <f>MONTH('base-pms_spbrasil'!E1833)</f>
        <v>12</v>
      </c>
      <c r="D1833" s="3" t="str">
        <f>UPPER(TEXT('base-pms_spbrasil'!E1833,"MMMM"))</f>
        <v>DEZEMBRO</v>
      </c>
    </row>
    <row r="1834" spans="1:4" x14ac:dyDescent="0.25">
      <c r="A1834" s="1">
        <v>42736</v>
      </c>
      <c r="B1834">
        <f>YEAR('base-pms_spbrasil'!E1834)</f>
        <v>2017</v>
      </c>
      <c r="C1834">
        <f>MONTH('base-pms_spbrasil'!E1834)</f>
        <v>1</v>
      </c>
      <c r="D1834" s="3" t="str">
        <f>UPPER(TEXT('base-pms_spbrasil'!E1834,"MMMM"))</f>
        <v>JANEIRO</v>
      </c>
    </row>
    <row r="1835" spans="1:4" x14ac:dyDescent="0.25">
      <c r="A1835" s="1">
        <v>42767</v>
      </c>
      <c r="B1835">
        <f>YEAR('base-pms_spbrasil'!E1835)</f>
        <v>2017</v>
      </c>
      <c r="C1835">
        <f>MONTH('base-pms_spbrasil'!E1835)</f>
        <v>2</v>
      </c>
      <c r="D1835" s="3" t="str">
        <f>UPPER(TEXT('base-pms_spbrasil'!E1835,"MMMM"))</f>
        <v>FEVEREIRO</v>
      </c>
    </row>
    <row r="1836" spans="1:4" x14ac:dyDescent="0.25">
      <c r="A1836" s="1">
        <v>42795</v>
      </c>
      <c r="B1836">
        <f>YEAR('base-pms_spbrasil'!E1836)</f>
        <v>2017</v>
      </c>
      <c r="C1836">
        <f>MONTH('base-pms_spbrasil'!E1836)</f>
        <v>3</v>
      </c>
      <c r="D1836" s="3" t="str">
        <f>UPPER(TEXT('base-pms_spbrasil'!E1836,"MMMM"))</f>
        <v>MARÇO</v>
      </c>
    </row>
    <row r="1837" spans="1:4" x14ac:dyDescent="0.25">
      <c r="A1837" s="1">
        <v>42826</v>
      </c>
      <c r="B1837">
        <f>YEAR('base-pms_spbrasil'!E1837)</f>
        <v>2017</v>
      </c>
      <c r="C1837">
        <f>MONTH('base-pms_spbrasil'!E1837)</f>
        <v>4</v>
      </c>
      <c r="D1837" s="3" t="str">
        <f>UPPER(TEXT('base-pms_spbrasil'!E1837,"MMMM"))</f>
        <v>ABRIL</v>
      </c>
    </row>
    <row r="1838" spans="1:4" x14ac:dyDescent="0.25">
      <c r="A1838" s="1">
        <v>42856</v>
      </c>
      <c r="B1838">
        <f>YEAR('base-pms_spbrasil'!E1838)</f>
        <v>2017</v>
      </c>
      <c r="C1838">
        <f>MONTH('base-pms_spbrasil'!E1838)</f>
        <v>5</v>
      </c>
      <c r="D1838" s="3" t="str">
        <f>UPPER(TEXT('base-pms_spbrasil'!E1838,"MMMM"))</f>
        <v>MAIO</v>
      </c>
    </row>
    <row r="1839" spans="1:4" x14ac:dyDescent="0.25">
      <c r="A1839" s="1">
        <v>42887</v>
      </c>
      <c r="B1839">
        <f>YEAR('base-pms_spbrasil'!E1839)</f>
        <v>2017</v>
      </c>
      <c r="C1839">
        <f>MONTH('base-pms_spbrasil'!E1839)</f>
        <v>6</v>
      </c>
      <c r="D1839" s="3" t="str">
        <f>UPPER(TEXT('base-pms_spbrasil'!E1839,"MMMM"))</f>
        <v>JUNHO</v>
      </c>
    </row>
    <row r="1840" spans="1:4" x14ac:dyDescent="0.25">
      <c r="A1840" s="1">
        <v>42917</v>
      </c>
      <c r="B1840">
        <f>YEAR('base-pms_spbrasil'!E1840)</f>
        <v>2017</v>
      </c>
      <c r="C1840">
        <f>MONTH('base-pms_spbrasil'!E1840)</f>
        <v>7</v>
      </c>
      <c r="D1840" s="3" t="str">
        <f>UPPER(TEXT('base-pms_spbrasil'!E1840,"MMMM"))</f>
        <v>JULHO</v>
      </c>
    </row>
    <row r="1841" spans="1:4" x14ac:dyDescent="0.25">
      <c r="A1841" s="1">
        <v>42948</v>
      </c>
      <c r="B1841">
        <f>YEAR('base-pms_spbrasil'!E1841)</f>
        <v>2017</v>
      </c>
      <c r="C1841">
        <f>MONTH('base-pms_spbrasil'!E1841)</f>
        <v>8</v>
      </c>
      <c r="D1841" s="3" t="str">
        <f>UPPER(TEXT('base-pms_spbrasil'!E1841,"MMMM"))</f>
        <v>AGOSTO</v>
      </c>
    </row>
    <row r="1842" spans="1:4" x14ac:dyDescent="0.25">
      <c r="A1842" s="1">
        <v>42979</v>
      </c>
      <c r="B1842">
        <f>YEAR('base-pms_spbrasil'!E1842)</f>
        <v>2017</v>
      </c>
      <c r="C1842">
        <f>MONTH('base-pms_spbrasil'!E1842)</f>
        <v>9</v>
      </c>
      <c r="D1842" s="3" t="str">
        <f>UPPER(TEXT('base-pms_spbrasil'!E1842,"MMMM"))</f>
        <v>SETEMBRO</v>
      </c>
    </row>
    <row r="1843" spans="1:4" x14ac:dyDescent="0.25">
      <c r="A1843" s="1">
        <v>43009</v>
      </c>
      <c r="B1843">
        <f>YEAR('base-pms_spbrasil'!E1843)</f>
        <v>2017</v>
      </c>
      <c r="C1843">
        <f>MONTH('base-pms_spbrasil'!E1843)</f>
        <v>10</v>
      </c>
      <c r="D1843" s="3" t="str">
        <f>UPPER(TEXT('base-pms_spbrasil'!E1843,"MMMM"))</f>
        <v>OUTUBRO</v>
      </c>
    </row>
    <row r="1844" spans="1:4" x14ac:dyDescent="0.25">
      <c r="A1844" s="1">
        <v>43040</v>
      </c>
      <c r="B1844">
        <f>YEAR('base-pms_spbrasil'!E1844)</f>
        <v>2017</v>
      </c>
      <c r="C1844">
        <f>MONTH('base-pms_spbrasil'!E1844)</f>
        <v>11</v>
      </c>
      <c r="D1844" s="3" t="str">
        <f>UPPER(TEXT('base-pms_spbrasil'!E1844,"MMMM"))</f>
        <v>NOVEMBRO</v>
      </c>
    </row>
    <row r="1845" spans="1:4" x14ac:dyDescent="0.25">
      <c r="A1845" s="1">
        <v>43070</v>
      </c>
      <c r="B1845">
        <f>YEAR('base-pms_spbrasil'!E1845)</f>
        <v>2017</v>
      </c>
      <c r="C1845">
        <f>MONTH('base-pms_spbrasil'!E1845)</f>
        <v>12</v>
      </c>
      <c r="D1845" s="3" t="str">
        <f>UPPER(TEXT('base-pms_spbrasil'!E1845,"MMMM"))</f>
        <v>DEZEMBRO</v>
      </c>
    </row>
    <row r="1846" spans="1:4" x14ac:dyDescent="0.25">
      <c r="A1846" s="1">
        <v>43101</v>
      </c>
      <c r="B1846">
        <f>YEAR('base-pms_spbrasil'!E1846)</f>
        <v>2018</v>
      </c>
      <c r="C1846">
        <f>MONTH('base-pms_spbrasil'!E1846)</f>
        <v>1</v>
      </c>
      <c r="D1846" s="3" t="str">
        <f>UPPER(TEXT('base-pms_spbrasil'!E1846,"MMMM"))</f>
        <v>JANEIRO</v>
      </c>
    </row>
    <row r="1847" spans="1:4" x14ac:dyDescent="0.25">
      <c r="A1847" s="1">
        <v>43132</v>
      </c>
      <c r="B1847">
        <f>YEAR('base-pms_spbrasil'!E1847)</f>
        <v>2018</v>
      </c>
      <c r="C1847">
        <f>MONTH('base-pms_spbrasil'!E1847)</f>
        <v>2</v>
      </c>
      <c r="D1847" s="3" t="str">
        <f>UPPER(TEXT('base-pms_spbrasil'!E1847,"MMMM"))</f>
        <v>FEVEREIRO</v>
      </c>
    </row>
    <row r="1848" spans="1:4" x14ac:dyDescent="0.25">
      <c r="A1848" s="1">
        <v>43160</v>
      </c>
      <c r="B1848">
        <f>YEAR('base-pms_spbrasil'!E1848)</f>
        <v>2018</v>
      </c>
      <c r="C1848">
        <f>MONTH('base-pms_spbrasil'!E1848)</f>
        <v>3</v>
      </c>
      <c r="D1848" s="3" t="str">
        <f>UPPER(TEXT('base-pms_spbrasil'!E1848,"MMMM"))</f>
        <v>MARÇO</v>
      </c>
    </row>
    <row r="1849" spans="1:4" x14ac:dyDescent="0.25">
      <c r="A1849" s="1">
        <v>43191</v>
      </c>
      <c r="B1849">
        <f>YEAR('base-pms_spbrasil'!E1849)</f>
        <v>2018</v>
      </c>
      <c r="C1849">
        <f>MONTH('base-pms_spbrasil'!E1849)</f>
        <v>4</v>
      </c>
      <c r="D1849" s="3" t="str">
        <f>UPPER(TEXT('base-pms_spbrasil'!E1849,"MMMM"))</f>
        <v>ABRIL</v>
      </c>
    </row>
    <row r="1850" spans="1:4" x14ac:dyDescent="0.25">
      <c r="A1850" s="1">
        <v>43221</v>
      </c>
      <c r="B1850">
        <f>YEAR('base-pms_spbrasil'!E1850)</f>
        <v>2018</v>
      </c>
      <c r="C1850">
        <f>MONTH('base-pms_spbrasil'!E1850)</f>
        <v>5</v>
      </c>
      <c r="D1850" s="3" t="str">
        <f>UPPER(TEXT('base-pms_spbrasil'!E1850,"MMMM"))</f>
        <v>MAIO</v>
      </c>
    </row>
    <row r="1851" spans="1:4" x14ac:dyDescent="0.25">
      <c r="A1851" s="1">
        <v>43252</v>
      </c>
      <c r="B1851">
        <f>YEAR('base-pms_spbrasil'!E1851)</f>
        <v>2018</v>
      </c>
      <c r="C1851">
        <f>MONTH('base-pms_spbrasil'!E1851)</f>
        <v>6</v>
      </c>
      <c r="D1851" s="3" t="str">
        <f>UPPER(TEXT('base-pms_spbrasil'!E1851,"MMMM"))</f>
        <v>JUNHO</v>
      </c>
    </row>
    <row r="1852" spans="1:4" x14ac:dyDescent="0.25">
      <c r="A1852" s="1">
        <v>43282</v>
      </c>
      <c r="B1852">
        <f>YEAR('base-pms_spbrasil'!E1852)</f>
        <v>2018</v>
      </c>
      <c r="C1852">
        <f>MONTH('base-pms_spbrasil'!E1852)</f>
        <v>7</v>
      </c>
      <c r="D1852" s="3" t="str">
        <f>UPPER(TEXT('base-pms_spbrasil'!E1852,"MMMM"))</f>
        <v>JULHO</v>
      </c>
    </row>
    <row r="1853" spans="1:4" x14ac:dyDescent="0.25">
      <c r="A1853" s="1">
        <v>43313</v>
      </c>
      <c r="B1853">
        <f>YEAR('base-pms_spbrasil'!E1853)</f>
        <v>2018</v>
      </c>
      <c r="C1853">
        <f>MONTH('base-pms_spbrasil'!E1853)</f>
        <v>8</v>
      </c>
      <c r="D1853" s="3" t="str">
        <f>UPPER(TEXT('base-pms_spbrasil'!E1853,"MMMM"))</f>
        <v>AGOSTO</v>
      </c>
    </row>
    <row r="1854" spans="1:4" x14ac:dyDescent="0.25">
      <c r="A1854" s="1">
        <v>43344</v>
      </c>
      <c r="B1854">
        <f>YEAR('base-pms_spbrasil'!E1854)</f>
        <v>2018</v>
      </c>
      <c r="C1854">
        <f>MONTH('base-pms_spbrasil'!E1854)</f>
        <v>9</v>
      </c>
      <c r="D1854" s="3" t="str">
        <f>UPPER(TEXT('base-pms_spbrasil'!E1854,"MMMM"))</f>
        <v>SETEMBRO</v>
      </c>
    </row>
    <row r="1855" spans="1:4" x14ac:dyDescent="0.25">
      <c r="A1855" s="1">
        <v>43374</v>
      </c>
      <c r="B1855">
        <f>YEAR('base-pms_spbrasil'!E1855)</f>
        <v>2018</v>
      </c>
      <c r="C1855">
        <f>MONTH('base-pms_spbrasil'!E1855)</f>
        <v>10</v>
      </c>
      <c r="D1855" s="3" t="str">
        <f>UPPER(TEXT('base-pms_spbrasil'!E1855,"MMMM"))</f>
        <v>OUTUBRO</v>
      </c>
    </row>
    <row r="1856" spans="1:4" x14ac:dyDescent="0.25">
      <c r="A1856" s="1">
        <v>43405</v>
      </c>
      <c r="B1856">
        <f>YEAR('base-pms_spbrasil'!E1856)</f>
        <v>2018</v>
      </c>
      <c r="C1856">
        <f>MONTH('base-pms_spbrasil'!E1856)</f>
        <v>11</v>
      </c>
      <c r="D1856" s="3" t="str">
        <f>UPPER(TEXT('base-pms_spbrasil'!E1856,"MMMM"))</f>
        <v>NOVEMBRO</v>
      </c>
    </row>
    <row r="1857" spans="1:4" x14ac:dyDescent="0.25">
      <c r="A1857" s="1">
        <v>43435</v>
      </c>
      <c r="B1857">
        <f>YEAR('base-pms_spbrasil'!E1857)</f>
        <v>2018</v>
      </c>
      <c r="C1857">
        <f>MONTH('base-pms_spbrasil'!E1857)</f>
        <v>12</v>
      </c>
      <c r="D1857" s="3" t="str">
        <f>UPPER(TEXT('base-pms_spbrasil'!E1857,"MMMM"))</f>
        <v>DEZEMBRO</v>
      </c>
    </row>
    <row r="1858" spans="1:4" x14ac:dyDescent="0.25">
      <c r="A1858" s="1">
        <v>43466</v>
      </c>
      <c r="B1858">
        <f>YEAR('base-pms_spbrasil'!E1858)</f>
        <v>2019</v>
      </c>
      <c r="C1858">
        <f>MONTH('base-pms_spbrasil'!E1858)</f>
        <v>1</v>
      </c>
      <c r="D1858" s="3" t="str">
        <f>UPPER(TEXT('base-pms_spbrasil'!E1858,"MMMM"))</f>
        <v>JANEIRO</v>
      </c>
    </row>
    <row r="1859" spans="1:4" x14ac:dyDescent="0.25">
      <c r="A1859" s="1">
        <v>43497</v>
      </c>
      <c r="B1859">
        <f>YEAR('base-pms_spbrasil'!E1859)</f>
        <v>2019</v>
      </c>
      <c r="C1859">
        <f>MONTH('base-pms_spbrasil'!E1859)</f>
        <v>2</v>
      </c>
      <c r="D1859" s="3" t="str">
        <f>UPPER(TEXT('base-pms_spbrasil'!E1859,"MMMM"))</f>
        <v>FEVEREIRO</v>
      </c>
    </row>
    <row r="1860" spans="1:4" x14ac:dyDescent="0.25">
      <c r="A1860" s="1">
        <v>43525</v>
      </c>
      <c r="B1860">
        <f>YEAR('base-pms_spbrasil'!E1860)</f>
        <v>2019</v>
      </c>
      <c r="C1860">
        <f>MONTH('base-pms_spbrasil'!E1860)</f>
        <v>3</v>
      </c>
      <c r="D1860" s="3" t="str">
        <f>UPPER(TEXT('base-pms_spbrasil'!E1860,"MMMM"))</f>
        <v>MARÇO</v>
      </c>
    </row>
    <row r="1861" spans="1:4" x14ac:dyDescent="0.25">
      <c r="A1861" s="1">
        <v>43556</v>
      </c>
      <c r="B1861">
        <f>YEAR('base-pms_spbrasil'!E1861)</f>
        <v>2019</v>
      </c>
      <c r="C1861">
        <f>MONTH('base-pms_spbrasil'!E1861)</f>
        <v>4</v>
      </c>
      <c r="D1861" s="3" t="str">
        <f>UPPER(TEXT('base-pms_spbrasil'!E1861,"MMMM"))</f>
        <v>ABRIL</v>
      </c>
    </row>
    <row r="1862" spans="1:4" x14ac:dyDescent="0.25">
      <c r="A1862" s="1">
        <v>43586</v>
      </c>
      <c r="B1862">
        <f>YEAR('base-pms_spbrasil'!E1862)</f>
        <v>2019</v>
      </c>
      <c r="C1862">
        <f>MONTH('base-pms_spbrasil'!E1862)</f>
        <v>5</v>
      </c>
      <c r="D1862" s="3" t="str">
        <f>UPPER(TEXT('base-pms_spbrasil'!E1862,"MMMM"))</f>
        <v>MAIO</v>
      </c>
    </row>
    <row r="1863" spans="1:4" x14ac:dyDescent="0.25">
      <c r="A1863" s="1">
        <v>43617</v>
      </c>
      <c r="B1863">
        <f>YEAR('base-pms_spbrasil'!E1863)</f>
        <v>2019</v>
      </c>
      <c r="C1863">
        <f>MONTH('base-pms_spbrasil'!E1863)</f>
        <v>6</v>
      </c>
      <c r="D1863" s="3" t="str">
        <f>UPPER(TEXT('base-pms_spbrasil'!E1863,"MMMM"))</f>
        <v>JUNHO</v>
      </c>
    </row>
    <row r="1864" spans="1:4" x14ac:dyDescent="0.25">
      <c r="A1864" s="1">
        <v>43647</v>
      </c>
      <c r="B1864">
        <f>YEAR('base-pms_spbrasil'!E1864)</f>
        <v>2019</v>
      </c>
      <c r="C1864">
        <f>MONTH('base-pms_spbrasil'!E1864)</f>
        <v>7</v>
      </c>
      <c r="D1864" s="3" t="str">
        <f>UPPER(TEXT('base-pms_spbrasil'!E1864,"MMMM"))</f>
        <v>JULHO</v>
      </c>
    </row>
    <row r="1865" spans="1:4" x14ac:dyDescent="0.25">
      <c r="A1865" s="1">
        <v>43678</v>
      </c>
      <c r="B1865">
        <f>YEAR('base-pms_spbrasil'!E1865)</f>
        <v>2019</v>
      </c>
      <c r="C1865">
        <f>MONTH('base-pms_spbrasil'!E1865)</f>
        <v>8</v>
      </c>
      <c r="D1865" s="3" t="str">
        <f>UPPER(TEXT('base-pms_spbrasil'!E1865,"MMMM"))</f>
        <v>AGOSTO</v>
      </c>
    </row>
    <row r="1866" spans="1:4" x14ac:dyDescent="0.25">
      <c r="A1866" s="1">
        <v>43709</v>
      </c>
      <c r="B1866">
        <f>YEAR('base-pms_spbrasil'!E1866)</f>
        <v>2019</v>
      </c>
      <c r="C1866">
        <f>MONTH('base-pms_spbrasil'!E1866)</f>
        <v>9</v>
      </c>
      <c r="D1866" s="3" t="str">
        <f>UPPER(TEXT('base-pms_spbrasil'!E1866,"MMMM"))</f>
        <v>SETEMBRO</v>
      </c>
    </row>
    <row r="1867" spans="1:4" x14ac:dyDescent="0.25">
      <c r="A1867" s="1">
        <v>43739</v>
      </c>
      <c r="B1867">
        <f>YEAR('base-pms_spbrasil'!E1867)</f>
        <v>2019</v>
      </c>
      <c r="C1867">
        <f>MONTH('base-pms_spbrasil'!E1867)</f>
        <v>10</v>
      </c>
      <c r="D1867" s="3" t="str">
        <f>UPPER(TEXT('base-pms_spbrasil'!E1867,"MMMM"))</f>
        <v>OUTUBRO</v>
      </c>
    </row>
    <row r="1868" spans="1:4" x14ac:dyDescent="0.25">
      <c r="A1868" s="1">
        <v>43770</v>
      </c>
      <c r="B1868">
        <f>YEAR('base-pms_spbrasil'!E1868)</f>
        <v>2019</v>
      </c>
      <c r="C1868">
        <f>MONTH('base-pms_spbrasil'!E1868)</f>
        <v>11</v>
      </c>
      <c r="D1868" s="3" t="str">
        <f>UPPER(TEXT('base-pms_spbrasil'!E1868,"MMMM"))</f>
        <v>NOVEMBRO</v>
      </c>
    </row>
    <row r="1869" spans="1:4" x14ac:dyDescent="0.25">
      <c r="A1869" s="1">
        <v>43800</v>
      </c>
      <c r="B1869">
        <f>YEAR('base-pms_spbrasil'!E1869)</f>
        <v>2019</v>
      </c>
      <c r="C1869">
        <f>MONTH('base-pms_spbrasil'!E1869)</f>
        <v>12</v>
      </c>
      <c r="D1869" s="3" t="str">
        <f>UPPER(TEXT('base-pms_spbrasil'!E1869,"MMMM"))</f>
        <v>DEZEMBRO</v>
      </c>
    </row>
    <row r="1870" spans="1:4" x14ac:dyDescent="0.25">
      <c r="A1870" s="1">
        <v>43831</v>
      </c>
      <c r="B1870">
        <f>YEAR('base-pms_spbrasil'!E1870)</f>
        <v>2020</v>
      </c>
      <c r="C1870">
        <f>MONTH('base-pms_spbrasil'!E1870)</f>
        <v>1</v>
      </c>
      <c r="D1870" s="3" t="str">
        <f>UPPER(TEXT('base-pms_spbrasil'!E1870,"MMMM"))</f>
        <v>JANEIRO</v>
      </c>
    </row>
    <row r="1871" spans="1:4" x14ac:dyDescent="0.25">
      <c r="A1871" s="1">
        <v>43862</v>
      </c>
      <c r="B1871">
        <f>YEAR('base-pms_spbrasil'!E1871)</f>
        <v>2020</v>
      </c>
      <c r="C1871">
        <f>MONTH('base-pms_spbrasil'!E1871)</f>
        <v>2</v>
      </c>
      <c r="D1871" s="3" t="str">
        <f>UPPER(TEXT('base-pms_spbrasil'!E1871,"MMMM"))</f>
        <v>FEVEREIRO</v>
      </c>
    </row>
    <row r="1872" spans="1:4" x14ac:dyDescent="0.25">
      <c r="A1872" s="1">
        <v>43891</v>
      </c>
      <c r="B1872">
        <f>YEAR('base-pms_spbrasil'!E1872)</f>
        <v>2020</v>
      </c>
      <c r="C1872">
        <f>MONTH('base-pms_spbrasil'!E1872)</f>
        <v>3</v>
      </c>
      <c r="D1872" s="3" t="str">
        <f>UPPER(TEXT('base-pms_spbrasil'!E1872,"MMMM"))</f>
        <v>MARÇO</v>
      </c>
    </row>
    <row r="1873" spans="1:4" x14ac:dyDescent="0.25">
      <c r="A1873" s="1">
        <v>43922</v>
      </c>
      <c r="B1873">
        <f>YEAR('base-pms_spbrasil'!E1873)</f>
        <v>2020</v>
      </c>
      <c r="C1873">
        <f>MONTH('base-pms_spbrasil'!E1873)</f>
        <v>4</v>
      </c>
      <c r="D1873" s="3" t="str">
        <f>UPPER(TEXT('base-pms_spbrasil'!E1873,"MMMM"))</f>
        <v>ABRIL</v>
      </c>
    </row>
    <row r="1874" spans="1:4" x14ac:dyDescent="0.25">
      <c r="A1874" s="1">
        <v>43952</v>
      </c>
      <c r="B1874">
        <f>YEAR('base-pms_spbrasil'!E1874)</f>
        <v>2020</v>
      </c>
      <c r="C1874">
        <f>MONTH('base-pms_spbrasil'!E1874)</f>
        <v>5</v>
      </c>
      <c r="D1874" s="3" t="str">
        <f>UPPER(TEXT('base-pms_spbrasil'!E1874,"MMMM"))</f>
        <v>MAIO</v>
      </c>
    </row>
    <row r="1875" spans="1:4" x14ac:dyDescent="0.25">
      <c r="A1875" s="1">
        <v>43983</v>
      </c>
      <c r="B1875">
        <f>YEAR('base-pms_spbrasil'!E1875)</f>
        <v>2020</v>
      </c>
      <c r="C1875">
        <f>MONTH('base-pms_spbrasil'!E1875)</f>
        <v>6</v>
      </c>
      <c r="D1875" s="3" t="str">
        <f>UPPER(TEXT('base-pms_spbrasil'!E1875,"MMMM"))</f>
        <v>JUNHO</v>
      </c>
    </row>
    <row r="1876" spans="1:4" x14ac:dyDescent="0.25">
      <c r="A1876" s="1">
        <v>44013</v>
      </c>
      <c r="B1876">
        <f>YEAR('base-pms_spbrasil'!E1876)</f>
        <v>2020</v>
      </c>
      <c r="C1876">
        <f>MONTH('base-pms_spbrasil'!E1876)</f>
        <v>7</v>
      </c>
      <c r="D1876" s="3" t="str">
        <f>UPPER(TEXT('base-pms_spbrasil'!E1876,"MMMM"))</f>
        <v>JULHO</v>
      </c>
    </row>
    <row r="1877" spans="1:4" x14ac:dyDescent="0.25">
      <c r="A1877" s="1">
        <v>44044</v>
      </c>
      <c r="B1877">
        <f>YEAR('base-pms_spbrasil'!E1877)</f>
        <v>2020</v>
      </c>
      <c r="C1877">
        <f>MONTH('base-pms_spbrasil'!E1877)</f>
        <v>8</v>
      </c>
      <c r="D1877" s="3" t="str">
        <f>UPPER(TEXT('base-pms_spbrasil'!E1877,"MMMM"))</f>
        <v>AGOSTO</v>
      </c>
    </row>
    <row r="1878" spans="1:4" x14ac:dyDescent="0.25">
      <c r="A1878" s="1">
        <v>44075</v>
      </c>
      <c r="B1878">
        <f>YEAR('base-pms_spbrasil'!E1878)</f>
        <v>2020</v>
      </c>
      <c r="C1878">
        <f>MONTH('base-pms_spbrasil'!E1878)</f>
        <v>9</v>
      </c>
      <c r="D1878" s="3" t="str">
        <f>UPPER(TEXT('base-pms_spbrasil'!E1878,"MMMM"))</f>
        <v>SETEMBRO</v>
      </c>
    </row>
    <row r="1879" spans="1:4" x14ac:dyDescent="0.25">
      <c r="A1879" s="1">
        <v>44105</v>
      </c>
      <c r="B1879">
        <f>YEAR('base-pms_spbrasil'!E1879)</f>
        <v>2020</v>
      </c>
      <c r="C1879">
        <f>MONTH('base-pms_spbrasil'!E1879)</f>
        <v>10</v>
      </c>
      <c r="D1879" s="3" t="str">
        <f>UPPER(TEXT('base-pms_spbrasil'!E1879,"MMMM"))</f>
        <v>OUTUBRO</v>
      </c>
    </row>
    <row r="1880" spans="1:4" x14ac:dyDescent="0.25">
      <c r="A1880" s="1">
        <v>44136</v>
      </c>
      <c r="B1880">
        <f>YEAR('base-pms_spbrasil'!E1880)</f>
        <v>2020</v>
      </c>
      <c r="C1880">
        <f>MONTH('base-pms_spbrasil'!E1880)</f>
        <v>11</v>
      </c>
      <c r="D1880" s="3" t="str">
        <f>UPPER(TEXT('base-pms_spbrasil'!E1880,"MMMM"))</f>
        <v>NOVEMBRO</v>
      </c>
    </row>
    <row r="1881" spans="1:4" x14ac:dyDescent="0.25">
      <c r="A1881" s="1">
        <v>44166</v>
      </c>
      <c r="B1881">
        <f>YEAR('base-pms_spbrasil'!E1881)</f>
        <v>2020</v>
      </c>
      <c r="C1881">
        <f>MONTH('base-pms_spbrasil'!E1881)</f>
        <v>12</v>
      </c>
      <c r="D1881" s="3" t="str">
        <f>UPPER(TEXT('base-pms_spbrasil'!E1881,"MMMM"))</f>
        <v>DEZEMBRO</v>
      </c>
    </row>
    <row r="1882" spans="1:4" x14ac:dyDescent="0.25">
      <c r="A1882" s="1">
        <v>44197</v>
      </c>
      <c r="B1882">
        <f>YEAR('base-pms_spbrasil'!E1882)</f>
        <v>2021</v>
      </c>
      <c r="C1882">
        <f>MONTH('base-pms_spbrasil'!E1882)</f>
        <v>1</v>
      </c>
      <c r="D1882" s="3" t="str">
        <f>UPPER(TEXT('base-pms_spbrasil'!E1882,"MMMM"))</f>
        <v>JANEIRO</v>
      </c>
    </row>
    <row r="1883" spans="1:4" x14ac:dyDescent="0.25">
      <c r="A1883" s="1">
        <v>44228</v>
      </c>
      <c r="B1883">
        <f>YEAR('base-pms_spbrasil'!E1883)</f>
        <v>2021</v>
      </c>
      <c r="C1883">
        <f>MONTH('base-pms_spbrasil'!E1883)</f>
        <v>2</v>
      </c>
      <c r="D1883" s="3" t="str">
        <f>UPPER(TEXT('base-pms_spbrasil'!E1883,"MMMM"))</f>
        <v>FEVEREIRO</v>
      </c>
    </row>
    <row r="1884" spans="1:4" x14ac:dyDescent="0.25">
      <c r="A1884" s="1">
        <v>44256</v>
      </c>
      <c r="B1884">
        <f>YEAR('base-pms_spbrasil'!E1884)</f>
        <v>2021</v>
      </c>
      <c r="C1884">
        <f>MONTH('base-pms_spbrasil'!E1884)</f>
        <v>3</v>
      </c>
      <c r="D1884" s="3" t="str">
        <f>UPPER(TEXT('base-pms_spbrasil'!E1884,"MMMM"))</f>
        <v>MARÇO</v>
      </c>
    </row>
    <row r="1885" spans="1:4" x14ac:dyDescent="0.25">
      <c r="A1885" s="1">
        <v>44287</v>
      </c>
      <c r="B1885">
        <f>YEAR('base-pms_spbrasil'!E1885)</f>
        <v>2021</v>
      </c>
      <c r="C1885">
        <f>MONTH('base-pms_spbrasil'!E1885)</f>
        <v>4</v>
      </c>
      <c r="D1885" s="3" t="str">
        <f>UPPER(TEXT('base-pms_spbrasil'!E1885,"MMMM"))</f>
        <v>ABRIL</v>
      </c>
    </row>
    <row r="1886" spans="1:4" x14ac:dyDescent="0.25">
      <c r="A1886" s="1">
        <v>44317</v>
      </c>
      <c r="B1886">
        <f>YEAR('base-pms_spbrasil'!E1886)</f>
        <v>2021</v>
      </c>
      <c r="C1886">
        <f>MONTH('base-pms_spbrasil'!E1886)</f>
        <v>5</v>
      </c>
      <c r="D1886" s="3" t="str">
        <f>UPPER(TEXT('base-pms_spbrasil'!E1886,"MMMM"))</f>
        <v>MAIO</v>
      </c>
    </row>
    <row r="1887" spans="1:4" x14ac:dyDescent="0.25">
      <c r="A1887" s="1">
        <v>44348</v>
      </c>
      <c r="B1887">
        <f>YEAR('base-pms_spbrasil'!E1887)</f>
        <v>2021</v>
      </c>
      <c r="C1887">
        <f>MONTH('base-pms_spbrasil'!E1887)</f>
        <v>6</v>
      </c>
      <c r="D1887" s="3" t="str">
        <f>UPPER(TEXT('base-pms_spbrasil'!E1887,"MMMM"))</f>
        <v>JUNHO</v>
      </c>
    </row>
    <row r="1888" spans="1:4" x14ac:dyDescent="0.25">
      <c r="A1888" s="1">
        <v>44378</v>
      </c>
      <c r="B1888">
        <f>YEAR('base-pms_spbrasil'!E1888)</f>
        <v>2021</v>
      </c>
      <c r="C1888">
        <f>MONTH('base-pms_spbrasil'!E1888)</f>
        <v>7</v>
      </c>
      <c r="D1888" s="3" t="str">
        <f>UPPER(TEXT('base-pms_spbrasil'!E1888,"MMMM"))</f>
        <v>JULHO</v>
      </c>
    </row>
    <row r="1889" spans="1:4" x14ac:dyDescent="0.25">
      <c r="A1889" s="1">
        <v>44409</v>
      </c>
      <c r="B1889">
        <f>YEAR('base-pms_spbrasil'!E1889)</f>
        <v>2021</v>
      </c>
      <c r="C1889">
        <f>MONTH('base-pms_spbrasil'!E1889)</f>
        <v>8</v>
      </c>
      <c r="D1889" s="3" t="str">
        <f>UPPER(TEXT('base-pms_spbrasil'!E1889,"MMMM"))</f>
        <v>AGOSTO</v>
      </c>
    </row>
    <row r="1890" spans="1:4" x14ac:dyDescent="0.25">
      <c r="A1890" s="1">
        <v>44440</v>
      </c>
      <c r="B1890">
        <f>YEAR('base-pms_spbrasil'!E1890)</f>
        <v>2021</v>
      </c>
      <c r="C1890">
        <f>MONTH('base-pms_spbrasil'!E1890)</f>
        <v>9</v>
      </c>
      <c r="D1890" s="3" t="str">
        <f>UPPER(TEXT('base-pms_spbrasil'!E1890,"MMMM"))</f>
        <v>SETEMBRO</v>
      </c>
    </row>
    <row r="1891" spans="1:4" x14ac:dyDescent="0.25">
      <c r="A1891" s="1">
        <v>44470</v>
      </c>
      <c r="B1891">
        <f>YEAR('base-pms_spbrasil'!E1891)</f>
        <v>2021</v>
      </c>
      <c r="C1891">
        <f>MONTH('base-pms_spbrasil'!E1891)</f>
        <v>10</v>
      </c>
      <c r="D1891" s="3" t="str">
        <f>UPPER(TEXT('base-pms_spbrasil'!E1891,"MMMM"))</f>
        <v>OUTUBRO</v>
      </c>
    </row>
    <row r="1892" spans="1:4" x14ac:dyDescent="0.25">
      <c r="A1892" s="1">
        <v>44501</v>
      </c>
      <c r="B1892">
        <f>YEAR('base-pms_spbrasil'!E1892)</f>
        <v>2021</v>
      </c>
      <c r="C1892">
        <f>MONTH('base-pms_spbrasil'!E1892)</f>
        <v>11</v>
      </c>
      <c r="D1892" s="3" t="str">
        <f>UPPER(TEXT('base-pms_spbrasil'!E1892,"MMMM"))</f>
        <v>NOVEMBRO</v>
      </c>
    </row>
    <row r="1893" spans="1:4" x14ac:dyDescent="0.25">
      <c r="A1893" s="1">
        <v>44531</v>
      </c>
      <c r="B1893">
        <f>YEAR('base-pms_spbrasil'!E1893)</f>
        <v>2021</v>
      </c>
      <c r="C1893">
        <f>MONTH('base-pms_spbrasil'!E1893)</f>
        <v>12</v>
      </c>
      <c r="D1893" s="3" t="str">
        <f>UPPER(TEXT('base-pms_spbrasil'!E1893,"MMMM"))</f>
        <v>DEZEMBRO</v>
      </c>
    </row>
    <row r="1894" spans="1:4" x14ac:dyDescent="0.25">
      <c r="A1894" s="1">
        <v>44562</v>
      </c>
      <c r="B1894">
        <f>YEAR('base-pms_spbrasil'!E1894)</f>
        <v>2022</v>
      </c>
      <c r="C1894">
        <f>MONTH('base-pms_spbrasil'!E1894)</f>
        <v>1</v>
      </c>
      <c r="D1894" s="3" t="str">
        <f>UPPER(TEXT('base-pms_spbrasil'!E1894,"MMMM"))</f>
        <v>JANEIRO</v>
      </c>
    </row>
    <row r="1895" spans="1:4" x14ac:dyDescent="0.25">
      <c r="A1895" s="1">
        <v>44593</v>
      </c>
      <c r="B1895">
        <f>YEAR('base-pms_spbrasil'!E1895)</f>
        <v>2022</v>
      </c>
      <c r="C1895">
        <f>MONTH('base-pms_spbrasil'!E1895)</f>
        <v>2</v>
      </c>
      <c r="D1895" s="3" t="str">
        <f>UPPER(TEXT('base-pms_spbrasil'!E1895,"MMMM"))</f>
        <v>FEVEREIRO</v>
      </c>
    </row>
    <row r="1896" spans="1:4" x14ac:dyDescent="0.25">
      <c r="A1896" s="1">
        <v>44621</v>
      </c>
      <c r="B1896">
        <f>YEAR('base-pms_spbrasil'!E1896)</f>
        <v>2022</v>
      </c>
      <c r="C1896">
        <f>MONTH('base-pms_spbrasil'!E1896)</f>
        <v>3</v>
      </c>
      <c r="D1896" s="3" t="str">
        <f>UPPER(TEXT('base-pms_spbrasil'!E1896,"MMMM"))</f>
        <v>MARÇO</v>
      </c>
    </row>
    <row r="1897" spans="1:4" x14ac:dyDescent="0.25">
      <c r="A1897" s="1">
        <v>44652</v>
      </c>
      <c r="B1897">
        <f>YEAR('base-pms_spbrasil'!E1897)</f>
        <v>2022</v>
      </c>
      <c r="C1897">
        <f>MONTH('base-pms_spbrasil'!E1897)</f>
        <v>4</v>
      </c>
      <c r="D1897" s="3" t="str">
        <f>UPPER(TEXT('base-pms_spbrasil'!E1897,"MMMM"))</f>
        <v>ABRIL</v>
      </c>
    </row>
    <row r="1898" spans="1:4" x14ac:dyDescent="0.25">
      <c r="A1898" s="1">
        <v>44682</v>
      </c>
      <c r="B1898">
        <f>YEAR('base-pms_spbrasil'!E1898)</f>
        <v>2022</v>
      </c>
      <c r="C1898">
        <f>MONTH('base-pms_spbrasil'!E1898)</f>
        <v>5</v>
      </c>
      <c r="D1898" s="3" t="str">
        <f>UPPER(TEXT('base-pms_spbrasil'!E1898,"MMMM"))</f>
        <v>MAIO</v>
      </c>
    </row>
    <row r="1899" spans="1:4" x14ac:dyDescent="0.25">
      <c r="A1899" s="1">
        <v>44713</v>
      </c>
      <c r="B1899">
        <f>YEAR('base-pms_spbrasil'!E1899)</f>
        <v>2022</v>
      </c>
      <c r="C1899">
        <f>MONTH('base-pms_spbrasil'!E1899)</f>
        <v>6</v>
      </c>
      <c r="D1899" s="3" t="str">
        <f>UPPER(TEXT('base-pms_spbrasil'!E1899,"MMMM"))</f>
        <v>JUNHO</v>
      </c>
    </row>
    <row r="1900" spans="1:4" x14ac:dyDescent="0.25">
      <c r="A1900" s="1">
        <v>44743</v>
      </c>
      <c r="B1900">
        <f>YEAR('base-pms_spbrasil'!E1900)</f>
        <v>2022</v>
      </c>
      <c r="C1900">
        <f>MONTH('base-pms_spbrasil'!E1900)</f>
        <v>7</v>
      </c>
      <c r="D1900" s="3" t="str">
        <f>UPPER(TEXT('base-pms_spbrasil'!E1900,"MMMM"))</f>
        <v>JULHO</v>
      </c>
    </row>
    <row r="1901" spans="1:4" x14ac:dyDescent="0.25">
      <c r="A1901" s="1">
        <v>44774</v>
      </c>
      <c r="B1901">
        <f>YEAR('base-pms_spbrasil'!E1901)</f>
        <v>2022</v>
      </c>
      <c r="C1901">
        <f>MONTH('base-pms_spbrasil'!E1901)</f>
        <v>8</v>
      </c>
      <c r="D1901" s="3" t="str">
        <f>UPPER(TEXT('base-pms_spbrasil'!E1901,"MMMM"))</f>
        <v>AGOSTO</v>
      </c>
    </row>
    <row r="1902" spans="1:4" x14ac:dyDescent="0.25">
      <c r="A1902" s="1">
        <v>44805</v>
      </c>
      <c r="B1902">
        <f>YEAR('base-pms_spbrasil'!E1902)</f>
        <v>2022</v>
      </c>
      <c r="C1902">
        <f>MONTH('base-pms_spbrasil'!E1902)</f>
        <v>9</v>
      </c>
      <c r="D1902" s="3" t="str">
        <f>UPPER(TEXT('base-pms_spbrasil'!E1902,"MMMM"))</f>
        <v>SETEMBRO</v>
      </c>
    </row>
    <row r="1903" spans="1:4" x14ac:dyDescent="0.25">
      <c r="A1903" s="1">
        <v>44835</v>
      </c>
      <c r="B1903">
        <f>YEAR('base-pms_spbrasil'!E1903)</f>
        <v>2022</v>
      </c>
      <c r="C1903">
        <f>MONTH('base-pms_spbrasil'!E1903)</f>
        <v>10</v>
      </c>
      <c r="D1903" s="3" t="str">
        <f>UPPER(TEXT('base-pms_spbrasil'!E1903,"MMMM"))</f>
        <v>OUTUBRO</v>
      </c>
    </row>
    <row r="1904" spans="1:4" x14ac:dyDescent="0.25">
      <c r="A1904" s="1">
        <v>44866</v>
      </c>
      <c r="B1904">
        <f>YEAR('base-pms_spbrasil'!E1904)</f>
        <v>2022</v>
      </c>
      <c r="C1904">
        <f>MONTH('base-pms_spbrasil'!E1904)</f>
        <v>11</v>
      </c>
      <c r="D1904" s="3" t="str">
        <f>UPPER(TEXT('base-pms_spbrasil'!E1904,"MMMM"))</f>
        <v>NOVEMBRO</v>
      </c>
    </row>
    <row r="1905" spans="1:4" x14ac:dyDescent="0.25">
      <c r="A1905" s="1">
        <v>44896</v>
      </c>
      <c r="B1905">
        <f>YEAR('base-pms_spbrasil'!E1905)</f>
        <v>2022</v>
      </c>
      <c r="C1905">
        <f>MONTH('base-pms_spbrasil'!E1905)</f>
        <v>12</v>
      </c>
      <c r="D1905" s="3" t="str">
        <f>UPPER(TEXT('base-pms_spbrasil'!E1905,"MMMM"))</f>
        <v>DEZEMBRO</v>
      </c>
    </row>
    <row r="1906" spans="1:4" x14ac:dyDescent="0.25">
      <c r="A1906" s="1">
        <v>44927</v>
      </c>
      <c r="B1906">
        <f>YEAR('base-pms_spbrasil'!E1906)</f>
        <v>2023</v>
      </c>
      <c r="C1906">
        <f>MONTH('base-pms_spbrasil'!E1906)</f>
        <v>1</v>
      </c>
      <c r="D1906" s="3" t="str">
        <f>UPPER(TEXT('base-pms_spbrasil'!E1906,"MMMM"))</f>
        <v>JANEIRO</v>
      </c>
    </row>
    <row r="1907" spans="1:4" x14ac:dyDescent="0.25">
      <c r="A1907" s="1">
        <v>44958</v>
      </c>
      <c r="B1907">
        <f>YEAR('base-pms_spbrasil'!E1907)</f>
        <v>2023</v>
      </c>
      <c r="C1907">
        <f>MONTH('base-pms_spbrasil'!E1907)</f>
        <v>2</v>
      </c>
      <c r="D1907" s="3" t="str">
        <f>UPPER(TEXT('base-pms_spbrasil'!E1907,"MMMM"))</f>
        <v>FEVEREIRO</v>
      </c>
    </row>
    <row r="1908" spans="1:4" x14ac:dyDescent="0.25">
      <c r="A1908" s="1">
        <v>44986</v>
      </c>
      <c r="B1908">
        <f>YEAR('base-pms_spbrasil'!E1908)</f>
        <v>2023</v>
      </c>
      <c r="C1908">
        <f>MONTH('base-pms_spbrasil'!E1908)</f>
        <v>3</v>
      </c>
      <c r="D1908" s="3" t="str">
        <f>UPPER(TEXT('base-pms_spbrasil'!E1908,"MMMM"))</f>
        <v>MARÇO</v>
      </c>
    </row>
    <row r="1909" spans="1:4" x14ac:dyDescent="0.25">
      <c r="A1909" s="1">
        <v>45017</v>
      </c>
      <c r="B1909">
        <f>YEAR('base-pms_spbrasil'!E1909)</f>
        <v>2023</v>
      </c>
      <c r="C1909">
        <f>MONTH('base-pms_spbrasil'!E1909)</f>
        <v>4</v>
      </c>
      <c r="D1909" s="3" t="str">
        <f>UPPER(TEXT('base-pms_spbrasil'!E1909,"MMMM"))</f>
        <v>ABRIL</v>
      </c>
    </row>
    <row r="1910" spans="1:4" x14ac:dyDescent="0.25">
      <c r="A1910" s="1">
        <v>45047</v>
      </c>
      <c r="B1910">
        <f>YEAR('base-pms_spbrasil'!E1910)</f>
        <v>2023</v>
      </c>
      <c r="C1910">
        <f>MONTH('base-pms_spbrasil'!E1910)</f>
        <v>5</v>
      </c>
      <c r="D1910" s="3" t="str">
        <f>UPPER(TEXT('base-pms_spbrasil'!E1910,"MMMM"))</f>
        <v>MAIO</v>
      </c>
    </row>
    <row r="1911" spans="1:4" x14ac:dyDescent="0.25">
      <c r="A1911" s="1">
        <v>45078</v>
      </c>
      <c r="B1911">
        <f>YEAR('base-pms_spbrasil'!E1911)</f>
        <v>2023</v>
      </c>
      <c r="C1911">
        <f>MONTH('base-pms_spbrasil'!E1911)</f>
        <v>6</v>
      </c>
      <c r="D1911" s="3" t="str">
        <f>UPPER(TEXT('base-pms_spbrasil'!E1911,"MMMM"))</f>
        <v>JUNHO</v>
      </c>
    </row>
    <row r="1912" spans="1:4" x14ac:dyDescent="0.25">
      <c r="A1912" s="1">
        <v>45108</v>
      </c>
      <c r="B1912">
        <f>YEAR('base-pms_spbrasil'!E1912)</f>
        <v>2023</v>
      </c>
      <c r="C1912">
        <f>MONTH('base-pms_spbrasil'!E1912)</f>
        <v>7</v>
      </c>
      <c r="D1912" s="3" t="str">
        <f>UPPER(TEXT('base-pms_spbrasil'!E1912,"MMMM"))</f>
        <v>JULHO</v>
      </c>
    </row>
    <row r="1913" spans="1:4" x14ac:dyDescent="0.25">
      <c r="A1913" s="1">
        <v>45139</v>
      </c>
      <c r="B1913">
        <f>YEAR('base-pms_spbrasil'!E1913)</f>
        <v>2023</v>
      </c>
      <c r="C1913">
        <f>MONTH('base-pms_spbrasil'!E1913)</f>
        <v>8</v>
      </c>
      <c r="D1913" s="3" t="str">
        <f>UPPER(TEXT('base-pms_spbrasil'!E1913,"MMMM"))</f>
        <v>AGOSTO</v>
      </c>
    </row>
    <row r="1914" spans="1:4" x14ac:dyDescent="0.25">
      <c r="A1914" s="1">
        <v>45170</v>
      </c>
      <c r="B1914">
        <f>YEAR('base-pms_spbrasil'!E1914)</f>
        <v>2023</v>
      </c>
      <c r="C1914">
        <f>MONTH('base-pms_spbrasil'!E1914)</f>
        <v>9</v>
      </c>
      <c r="D1914" s="3" t="str">
        <f>UPPER(TEXT('base-pms_spbrasil'!E1914,"MMMM"))</f>
        <v>SETEMBRO</v>
      </c>
    </row>
    <row r="1915" spans="1:4" x14ac:dyDescent="0.25">
      <c r="A1915" s="1">
        <v>45200</v>
      </c>
      <c r="B1915">
        <f>YEAR('base-pms_spbrasil'!E1915)</f>
        <v>2023</v>
      </c>
      <c r="C1915">
        <f>MONTH('base-pms_spbrasil'!E1915)</f>
        <v>10</v>
      </c>
      <c r="D1915" s="3" t="str">
        <f>UPPER(TEXT('base-pms_spbrasil'!E1915,"MMMM"))</f>
        <v>OUTUBRO</v>
      </c>
    </row>
    <row r="1916" spans="1:4" x14ac:dyDescent="0.25">
      <c r="A1916" s="1">
        <v>45231</v>
      </c>
      <c r="B1916">
        <f>YEAR('base-pms_spbrasil'!E1916)</f>
        <v>2023</v>
      </c>
      <c r="C1916">
        <f>MONTH('base-pms_spbrasil'!E1916)</f>
        <v>11</v>
      </c>
      <c r="D1916" s="3" t="str">
        <f>UPPER(TEXT('base-pms_spbrasil'!E1916,"MMMM"))</f>
        <v>NOVEMBRO</v>
      </c>
    </row>
    <row r="1917" spans="1:4" x14ac:dyDescent="0.25">
      <c r="A1917" s="1">
        <v>45261</v>
      </c>
      <c r="B1917">
        <f>YEAR('base-pms_spbrasil'!E1917)</f>
        <v>2023</v>
      </c>
      <c r="C1917">
        <f>MONTH('base-pms_spbrasil'!E1917)</f>
        <v>12</v>
      </c>
      <c r="D1917" s="3" t="str">
        <f>UPPER(TEXT('base-pms_spbrasil'!E1917,"MMMM"))</f>
        <v>DEZEMBRO</v>
      </c>
    </row>
    <row r="1918" spans="1:4" x14ac:dyDescent="0.25">
      <c r="A1918" s="1">
        <v>45292</v>
      </c>
      <c r="B1918">
        <f>YEAR('base-pms_spbrasil'!E1918)</f>
        <v>2024</v>
      </c>
      <c r="C1918">
        <f>MONTH('base-pms_spbrasil'!E1918)</f>
        <v>1</v>
      </c>
      <c r="D1918" s="3" t="str">
        <f>UPPER(TEXT('base-pms_spbrasil'!E1918,"MMMM"))</f>
        <v>JANEIRO</v>
      </c>
    </row>
    <row r="1919" spans="1:4" x14ac:dyDescent="0.25">
      <c r="A1919" s="1">
        <v>45323</v>
      </c>
      <c r="B1919">
        <f>YEAR('base-pms_spbrasil'!E1919)</f>
        <v>2024</v>
      </c>
      <c r="C1919">
        <f>MONTH('base-pms_spbrasil'!E1919)</f>
        <v>2</v>
      </c>
      <c r="D1919" s="3" t="str">
        <f>UPPER(TEXT('base-pms_spbrasil'!E1919,"MMMM"))</f>
        <v>FEVEREIRO</v>
      </c>
    </row>
    <row r="1920" spans="1:4" x14ac:dyDescent="0.25">
      <c r="A1920" s="1">
        <v>45352</v>
      </c>
      <c r="B1920">
        <f>YEAR('base-pms_spbrasil'!E1920)</f>
        <v>2024</v>
      </c>
      <c r="C1920">
        <f>MONTH('base-pms_spbrasil'!E1920)</f>
        <v>3</v>
      </c>
      <c r="D1920" s="3" t="str">
        <f>UPPER(TEXT('base-pms_spbrasil'!E1920,"MMMM"))</f>
        <v>MARÇO</v>
      </c>
    </row>
    <row r="1921" spans="1:4" x14ac:dyDescent="0.25">
      <c r="A1921" s="1">
        <v>45383</v>
      </c>
      <c r="B1921">
        <f>YEAR('base-pms_spbrasil'!E1921)</f>
        <v>2024</v>
      </c>
      <c r="C1921">
        <f>MONTH('base-pms_spbrasil'!E1921)</f>
        <v>4</v>
      </c>
      <c r="D1921" s="3" t="str">
        <f>UPPER(TEXT('base-pms_spbrasil'!E1921,"MMMM"))</f>
        <v>ABRIL</v>
      </c>
    </row>
    <row r="1922" spans="1:4" x14ac:dyDescent="0.25">
      <c r="A1922" s="1">
        <v>45413</v>
      </c>
      <c r="B1922">
        <f>YEAR('base-pms_spbrasil'!E1922)</f>
        <v>2024</v>
      </c>
      <c r="C1922">
        <f>MONTH('base-pms_spbrasil'!E1922)</f>
        <v>5</v>
      </c>
      <c r="D1922" s="3" t="str">
        <f>UPPER(TEXT('base-pms_spbrasil'!E1922,"MMMM"))</f>
        <v>MAIO</v>
      </c>
    </row>
    <row r="1923" spans="1:4" x14ac:dyDescent="0.25">
      <c r="A1923" s="1">
        <v>45444</v>
      </c>
      <c r="B1923">
        <f>YEAR('base-pms_spbrasil'!E1923)</f>
        <v>2024</v>
      </c>
      <c r="C1923">
        <f>MONTH('base-pms_spbrasil'!E1923)</f>
        <v>6</v>
      </c>
      <c r="D1923" s="3" t="str">
        <f>UPPER(TEXT('base-pms_spbrasil'!E1923,"MMMM"))</f>
        <v>JUNHO</v>
      </c>
    </row>
    <row r="1924" spans="1:4" x14ac:dyDescent="0.25">
      <c r="A1924" s="1">
        <v>45474</v>
      </c>
      <c r="B1924">
        <f>YEAR('base-pms_spbrasil'!E1924)</f>
        <v>2024</v>
      </c>
      <c r="C1924">
        <f>MONTH('base-pms_spbrasil'!E1924)</f>
        <v>7</v>
      </c>
      <c r="D1924" s="3" t="str">
        <f>UPPER(TEXT('base-pms_spbrasil'!E1924,"MMMM"))</f>
        <v>JULHO</v>
      </c>
    </row>
    <row r="1925" spans="1:4" x14ac:dyDescent="0.25">
      <c r="A1925" s="1">
        <v>45505</v>
      </c>
      <c r="B1925">
        <f>YEAR('base-pms_spbrasil'!E1925)</f>
        <v>2024</v>
      </c>
      <c r="C1925">
        <f>MONTH('base-pms_spbrasil'!E1925)</f>
        <v>8</v>
      </c>
      <c r="D1925" s="3" t="str">
        <f>UPPER(TEXT('base-pms_spbrasil'!E1925,"MMMM"))</f>
        <v>AGOSTO</v>
      </c>
    </row>
    <row r="1926" spans="1:4" x14ac:dyDescent="0.25">
      <c r="A1926" s="1">
        <v>45536</v>
      </c>
      <c r="B1926">
        <f>YEAR('base-pms_spbrasil'!E1926)</f>
        <v>2024</v>
      </c>
      <c r="C1926">
        <f>MONTH('base-pms_spbrasil'!E1926)</f>
        <v>9</v>
      </c>
      <c r="D1926" s="3" t="str">
        <f>UPPER(TEXT('base-pms_spbrasil'!E1926,"MMMM"))</f>
        <v>SETEMBRO</v>
      </c>
    </row>
    <row r="1927" spans="1:4" x14ac:dyDescent="0.25">
      <c r="A1927" s="1">
        <v>45566</v>
      </c>
      <c r="B1927">
        <f>YEAR('base-pms_spbrasil'!E1927)</f>
        <v>2024</v>
      </c>
      <c r="C1927">
        <f>MONTH('base-pms_spbrasil'!E1927)</f>
        <v>10</v>
      </c>
      <c r="D1927" s="3" t="str">
        <f>UPPER(TEXT('base-pms_spbrasil'!E1927,"MMMM"))</f>
        <v>OUTUBRO</v>
      </c>
    </row>
    <row r="1928" spans="1:4" x14ac:dyDescent="0.25">
      <c r="A1928" s="1">
        <v>45597</v>
      </c>
      <c r="B1928">
        <f>YEAR('base-pms_spbrasil'!E1928)</f>
        <v>2024</v>
      </c>
      <c r="C1928">
        <f>MONTH('base-pms_spbrasil'!E1928)</f>
        <v>11</v>
      </c>
      <c r="D1928" s="3" t="str">
        <f>UPPER(TEXT('base-pms_spbrasil'!E1928,"MMMM"))</f>
        <v>NOVEMBRO</v>
      </c>
    </row>
    <row r="1929" spans="1:4" x14ac:dyDescent="0.25">
      <c r="A1929" s="1">
        <v>45627</v>
      </c>
      <c r="B1929">
        <f>YEAR('base-pms_spbrasil'!E1929)</f>
        <v>2024</v>
      </c>
      <c r="C1929">
        <f>MONTH('base-pms_spbrasil'!E1929)</f>
        <v>12</v>
      </c>
      <c r="D1929" s="3" t="str">
        <f>UPPER(TEXT('base-pms_spbrasil'!E1929,"MMMM"))</f>
        <v>DEZEMBRO</v>
      </c>
    </row>
    <row r="1930" spans="1:4" x14ac:dyDescent="0.25">
      <c r="A1930" s="1">
        <v>45658</v>
      </c>
      <c r="B1930">
        <f>YEAR('base-pms_spbrasil'!E1930)</f>
        <v>2025</v>
      </c>
      <c r="C1930">
        <f>MONTH('base-pms_spbrasil'!E1930)</f>
        <v>1</v>
      </c>
      <c r="D1930" s="3" t="str">
        <f>UPPER(TEXT('base-pms_spbrasil'!E1930,"MMMM"))</f>
        <v>JANEIRO</v>
      </c>
    </row>
    <row r="1931" spans="1:4" x14ac:dyDescent="0.25">
      <c r="A1931" s="1">
        <v>45689</v>
      </c>
      <c r="B1931">
        <f>YEAR('base-pms_spbrasil'!E1931)</f>
        <v>2025</v>
      </c>
      <c r="C1931">
        <f>MONTH('base-pms_spbrasil'!E1931)</f>
        <v>2</v>
      </c>
      <c r="D1931" s="3" t="str">
        <f>UPPER(TEXT('base-pms_spbrasil'!E1931,"MMMM"))</f>
        <v>FEVEREIRO</v>
      </c>
    </row>
    <row r="1932" spans="1:4" x14ac:dyDescent="0.25">
      <c r="A1932" s="1">
        <v>45717</v>
      </c>
      <c r="B1932">
        <f>YEAR('base-pms_spbrasil'!E1932)</f>
        <v>2025</v>
      </c>
      <c r="C1932">
        <f>MONTH('base-pms_spbrasil'!E1932)</f>
        <v>3</v>
      </c>
      <c r="D1932" s="3" t="str">
        <f>UPPER(TEXT('base-pms_spbrasil'!E1932,"MMMM"))</f>
        <v>MARÇO</v>
      </c>
    </row>
    <row r="1933" spans="1:4" x14ac:dyDescent="0.25">
      <c r="A1933" s="1">
        <v>45748</v>
      </c>
      <c r="B1933">
        <f>YEAR('base-pms_spbrasil'!E1933)</f>
        <v>2025</v>
      </c>
      <c r="C1933">
        <f>MONTH('base-pms_spbrasil'!E1933)</f>
        <v>4</v>
      </c>
      <c r="D1933" s="3" t="str">
        <f>UPPER(TEXT('base-pms_spbrasil'!E1933,"MMMM"))</f>
        <v>ABRIL</v>
      </c>
    </row>
    <row r="1934" spans="1:4" x14ac:dyDescent="0.25">
      <c r="A1934" s="1">
        <v>45778</v>
      </c>
      <c r="B1934">
        <f>YEAR('base-pms_spbrasil'!E1934)</f>
        <v>2025</v>
      </c>
      <c r="C1934">
        <f>MONTH('base-pms_spbrasil'!E1934)</f>
        <v>5</v>
      </c>
      <c r="D1934" s="3" t="str">
        <f>UPPER(TEXT('base-pms_spbrasil'!E1934,"MMMM"))</f>
        <v>MAIO</v>
      </c>
    </row>
    <row r="1935" spans="1:4" x14ac:dyDescent="0.25">
      <c r="A1935" s="1">
        <v>45809</v>
      </c>
      <c r="B1935">
        <f>YEAR('base-pms_spbrasil'!E1935)</f>
        <v>2025</v>
      </c>
      <c r="C1935">
        <f>MONTH('base-pms_spbrasil'!E1935)</f>
        <v>6</v>
      </c>
      <c r="D1935" s="3" t="str">
        <f>UPPER(TEXT('base-pms_spbrasil'!E1935,"MMMM"))</f>
        <v>JUNHO</v>
      </c>
    </row>
    <row r="1936" spans="1:4" x14ac:dyDescent="0.25">
      <c r="A1936" s="1">
        <v>45839</v>
      </c>
      <c r="B1936">
        <f>YEAR('base-pms_spbrasil'!E1936)</f>
        <v>2025</v>
      </c>
      <c r="C1936">
        <f>MONTH('base-pms_spbrasil'!E1936)</f>
        <v>7</v>
      </c>
      <c r="D1936" s="3" t="str">
        <f>UPPER(TEXT('base-pms_spbrasil'!E1936,"MMMM"))</f>
        <v>JULHO</v>
      </c>
    </row>
    <row r="1937" spans="1:4" x14ac:dyDescent="0.25">
      <c r="A1937" s="1">
        <v>45870</v>
      </c>
      <c r="B1937">
        <f>YEAR('base-pms_spbrasil'!E1937)</f>
        <v>2025</v>
      </c>
      <c r="C1937">
        <f>MONTH('base-pms_spbrasil'!E1937)</f>
        <v>8</v>
      </c>
      <c r="D1937" s="3" t="str">
        <f>UPPER(TEXT('base-pms_spbrasil'!E1937,"MMMM"))</f>
        <v>AGOSTO</v>
      </c>
    </row>
    <row r="1938" spans="1:4" x14ac:dyDescent="0.25">
      <c r="A1938" s="1">
        <v>40544</v>
      </c>
      <c r="B1938">
        <f>YEAR('base-pms_spbrasil'!E1938)</f>
        <v>2011</v>
      </c>
      <c r="C1938">
        <f>MONTH('base-pms_spbrasil'!E1938)</f>
        <v>1</v>
      </c>
      <c r="D1938" s="3" t="str">
        <f>UPPER(TEXT('base-pms_spbrasil'!E1938,"MMMM"))</f>
        <v>JANEIRO</v>
      </c>
    </row>
    <row r="1939" spans="1:4" x14ac:dyDescent="0.25">
      <c r="A1939" s="1">
        <v>40575</v>
      </c>
      <c r="B1939">
        <f>YEAR('base-pms_spbrasil'!E1939)</f>
        <v>2011</v>
      </c>
      <c r="C1939">
        <f>MONTH('base-pms_spbrasil'!E1939)</f>
        <v>2</v>
      </c>
      <c r="D1939" s="3" t="str">
        <f>UPPER(TEXT('base-pms_spbrasil'!E1939,"MMMM"))</f>
        <v>FEVEREIRO</v>
      </c>
    </row>
    <row r="1940" spans="1:4" x14ac:dyDescent="0.25">
      <c r="A1940" s="1">
        <v>40603</v>
      </c>
      <c r="B1940">
        <f>YEAR('base-pms_spbrasil'!E1940)</f>
        <v>2011</v>
      </c>
      <c r="C1940">
        <f>MONTH('base-pms_spbrasil'!E1940)</f>
        <v>3</v>
      </c>
      <c r="D1940" s="3" t="str">
        <f>UPPER(TEXT('base-pms_spbrasil'!E1940,"MMMM"))</f>
        <v>MARÇO</v>
      </c>
    </row>
    <row r="1941" spans="1:4" x14ac:dyDescent="0.25">
      <c r="A1941" s="1">
        <v>40634</v>
      </c>
      <c r="B1941">
        <f>YEAR('base-pms_spbrasil'!E1941)</f>
        <v>2011</v>
      </c>
      <c r="C1941">
        <f>MONTH('base-pms_spbrasil'!E1941)</f>
        <v>4</v>
      </c>
      <c r="D1941" s="3" t="str">
        <f>UPPER(TEXT('base-pms_spbrasil'!E1941,"MMMM"))</f>
        <v>ABRIL</v>
      </c>
    </row>
    <row r="1942" spans="1:4" x14ac:dyDescent="0.25">
      <c r="A1942" s="1">
        <v>40664</v>
      </c>
      <c r="B1942">
        <f>YEAR('base-pms_spbrasil'!E1942)</f>
        <v>2011</v>
      </c>
      <c r="C1942">
        <f>MONTH('base-pms_spbrasil'!E1942)</f>
        <v>5</v>
      </c>
      <c r="D1942" s="3" t="str">
        <f>UPPER(TEXT('base-pms_spbrasil'!E1942,"MMMM"))</f>
        <v>MAIO</v>
      </c>
    </row>
    <row r="1943" spans="1:4" x14ac:dyDescent="0.25">
      <c r="A1943" s="1">
        <v>40695</v>
      </c>
      <c r="B1943">
        <f>YEAR('base-pms_spbrasil'!E1943)</f>
        <v>2011</v>
      </c>
      <c r="C1943">
        <f>MONTH('base-pms_spbrasil'!E1943)</f>
        <v>6</v>
      </c>
      <c r="D1943" s="3" t="str">
        <f>UPPER(TEXT('base-pms_spbrasil'!E1943,"MMMM"))</f>
        <v>JUNHO</v>
      </c>
    </row>
    <row r="1944" spans="1:4" x14ac:dyDescent="0.25">
      <c r="A1944" s="1">
        <v>40725</v>
      </c>
      <c r="B1944">
        <f>YEAR('base-pms_spbrasil'!E1944)</f>
        <v>2011</v>
      </c>
      <c r="C1944">
        <f>MONTH('base-pms_spbrasil'!E1944)</f>
        <v>7</v>
      </c>
      <c r="D1944" s="3" t="str">
        <f>UPPER(TEXT('base-pms_spbrasil'!E1944,"MMMM"))</f>
        <v>JULHO</v>
      </c>
    </row>
    <row r="1945" spans="1:4" x14ac:dyDescent="0.25">
      <c r="A1945" s="1">
        <v>40756</v>
      </c>
      <c r="B1945">
        <f>YEAR('base-pms_spbrasil'!E1945)</f>
        <v>2011</v>
      </c>
      <c r="C1945">
        <f>MONTH('base-pms_spbrasil'!E1945)</f>
        <v>8</v>
      </c>
      <c r="D1945" s="3" t="str">
        <f>UPPER(TEXT('base-pms_spbrasil'!E1945,"MMMM"))</f>
        <v>AGOSTO</v>
      </c>
    </row>
    <row r="1946" spans="1:4" x14ac:dyDescent="0.25">
      <c r="A1946" s="1">
        <v>40787</v>
      </c>
      <c r="B1946">
        <f>YEAR('base-pms_spbrasil'!E1946)</f>
        <v>2011</v>
      </c>
      <c r="C1946">
        <f>MONTH('base-pms_spbrasil'!E1946)</f>
        <v>9</v>
      </c>
      <c r="D1946" s="3" t="str">
        <f>UPPER(TEXT('base-pms_spbrasil'!E1946,"MMMM"))</f>
        <v>SETEMBRO</v>
      </c>
    </row>
    <row r="1947" spans="1:4" x14ac:dyDescent="0.25">
      <c r="A1947" s="1">
        <v>40817</v>
      </c>
      <c r="B1947">
        <f>YEAR('base-pms_spbrasil'!E1947)</f>
        <v>2011</v>
      </c>
      <c r="C1947">
        <f>MONTH('base-pms_spbrasil'!E1947)</f>
        <v>10</v>
      </c>
      <c r="D1947" s="3" t="str">
        <f>UPPER(TEXT('base-pms_spbrasil'!E1947,"MMMM"))</f>
        <v>OUTUBRO</v>
      </c>
    </row>
    <row r="1948" spans="1:4" x14ac:dyDescent="0.25">
      <c r="A1948" s="1">
        <v>40848</v>
      </c>
      <c r="B1948">
        <f>YEAR('base-pms_spbrasil'!E1948)</f>
        <v>2011</v>
      </c>
      <c r="C1948">
        <f>MONTH('base-pms_spbrasil'!E1948)</f>
        <v>11</v>
      </c>
      <c r="D1948" s="3" t="str">
        <f>UPPER(TEXT('base-pms_spbrasil'!E1948,"MMMM"))</f>
        <v>NOVEMBRO</v>
      </c>
    </row>
    <row r="1949" spans="1:4" x14ac:dyDescent="0.25">
      <c r="A1949" s="1">
        <v>40878</v>
      </c>
      <c r="B1949">
        <f>YEAR('base-pms_spbrasil'!E1949)</f>
        <v>2011</v>
      </c>
      <c r="C1949">
        <f>MONTH('base-pms_spbrasil'!E1949)</f>
        <v>12</v>
      </c>
      <c r="D1949" s="3" t="str">
        <f>UPPER(TEXT('base-pms_spbrasil'!E1949,"MMMM"))</f>
        <v>DEZEMBRO</v>
      </c>
    </row>
    <row r="1950" spans="1:4" x14ac:dyDescent="0.25">
      <c r="A1950" s="1">
        <v>40909</v>
      </c>
      <c r="B1950">
        <f>YEAR('base-pms_spbrasil'!E1950)</f>
        <v>2012</v>
      </c>
      <c r="C1950">
        <f>MONTH('base-pms_spbrasil'!E1950)</f>
        <v>1</v>
      </c>
      <c r="D1950" s="3" t="str">
        <f>UPPER(TEXT('base-pms_spbrasil'!E1950,"MMMM"))</f>
        <v>JANEIRO</v>
      </c>
    </row>
    <row r="1951" spans="1:4" x14ac:dyDescent="0.25">
      <c r="A1951" s="1">
        <v>40940</v>
      </c>
      <c r="B1951">
        <f>YEAR('base-pms_spbrasil'!E1951)</f>
        <v>2012</v>
      </c>
      <c r="C1951">
        <f>MONTH('base-pms_spbrasil'!E1951)</f>
        <v>2</v>
      </c>
      <c r="D1951" s="3" t="str">
        <f>UPPER(TEXT('base-pms_spbrasil'!E1951,"MMMM"))</f>
        <v>FEVEREIRO</v>
      </c>
    </row>
    <row r="1952" spans="1:4" x14ac:dyDescent="0.25">
      <c r="A1952" s="1">
        <v>40969</v>
      </c>
      <c r="B1952">
        <f>YEAR('base-pms_spbrasil'!E1952)</f>
        <v>2012</v>
      </c>
      <c r="C1952">
        <f>MONTH('base-pms_spbrasil'!E1952)</f>
        <v>3</v>
      </c>
      <c r="D1952" s="3" t="str">
        <f>UPPER(TEXT('base-pms_spbrasil'!E1952,"MMMM"))</f>
        <v>MARÇO</v>
      </c>
    </row>
    <row r="1953" spans="1:4" x14ac:dyDescent="0.25">
      <c r="A1953" s="1">
        <v>41000</v>
      </c>
      <c r="B1953">
        <f>YEAR('base-pms_spbrasil'!E1953)</f>
        <v>2012</v>
      </c>
      <c r="C1953">
        <f>MONTH('base-pms_spbrasil'!E1953)</f>
        <v>4</v>
      </c>
      <c r="D1953" s="3" t="str">
        <f>UPPER(TEXT('base-pms_spbrasil'!E1953,"MMMM"))</f>
        <v>ABRIL</v>
      </c>
    </row>
    <row r="1954" spans="1:4" x14ac:dyDescent="0.25">
      <c r="A1954" s="1">
        <v>41030</v>
      </c>
      <c r="B1954">
        <f>YEAR('base-pms_spbrasil'!E1954)</f>
        <v>2012</v>
      </c>
      <c r="C1954">
        <f>MONTH('base-pms_spbrasil'!E1954)</f>
        <v>5</v>
      </c>
      <c r="D1954" s="3" t="str">
        <f>UPPER(TEXT('base-pms_spbrasil'!E1954,"MMMM"))</f>
        <v>MAIO</v>
      </c>
    </row>
    <row r="1955" spans="1:4" x14ac:dyDescent="0.25">
      <c r="A1955" s="1">
        <v>41061</v>
      </c>
      <c r="B1955">
        <f>YEAR('base-pms_spbrasil'!E1955)</f>
        <v>2012</v>
      </c>
      <c r="C1955">
        <f>MONTH('base-pms_spbrasil'!E1955)</f>
        <v>6</v>
      </c>
      <c r="D1955" s="3" t="str">
        <f>UPPER(TEXT('base-pms_spbrasil'!E1955,"MMMM"))</f>
        <v>JUNHO</v>
      </c>
    </row>
    <row r="1956" spans="1:4" x14ac:dyDescent="0.25">
      <c r="A1956" s="1">
        <v>41091</v>
      </c>
      <c r="B1956">
        <f>YEAR('base-pms_spbrasil'!E1956)</f>
        <v>2012</v>
      </c>
      <c r="C1956">
        <f>MONTH('base-pms_spbrasil'!E1956)</f>
        <v>7</v>
      </c>
      <c r="D1956" s="3" t="str">
        <f>UPPER(TEXT('base-pms_spbrasil'!E1956,"MMMM"))</f>
        <v>JULHO</v>
      </c>
    </row>
    <row r="1957" spans="1:4" x14ac:dyDescent="0.25">
      <c r="A1957" s="1">
        <v>41122</v>
      </c>
      <c r="B1957">
        <f>YEAR('base-pms_spbrasil'!E1957)</f>
        <v>2012</v>
      </c>
      <c r="C1957">
        <f>MONTH('base-pms_spbrasil'!E1957)</f>
        <v>8</v>
      </c>
      <c r="D1957" s="3" t="str">
        <f>UPPER(TEXT('base-pms_spbrasil'!E1957,"MMMM"))</f>
        <v>AGOSTO</v>
      </c>
    </row>
    <row r="1958" spans="1:4" x14ac:dyDescent="0.25">
      <c r="A1958" s="1">
        <v>41153</v>
      </c>
      <c r="B1958">
        <f>YEAR('base-pms_spbrasil'!E1958)</f>
        <v>2012</v>
      </c>
      <c r="C1958">
        <f>MONTH('base-pms_spbrasil'!E1958)</f>
        <v>9</v>
      </c>
      <c r="D1958" s="3" t="str">
        <f>UPPER(TEXT('base-pms_spbrasil'!E1958,"MMMM"))</f>
        <v>SETEMBRO</v>
      </c>
    </row>
    <row r="1959" spans="1:4" x14ac:dyDescent="0.25">
      <c r="A1959" s="1">
        <v>41183</v>
      </c>
      <c r="B1959">
        <f>YEAR('base-pms_spbrasil'!E1959)</f>
        <v>2012</v>
      </c>
      <c r="C1959">
        <f>MONTH('base-pms_spbrasil'!E1959)</f>
        <v>10</v>
      </c>
      <c r="D1959" s="3" t="str">
        <f>UPPER(TEXT('base-pms_spbrasil'!E1959,"MMMM"))</f>
        <v>OUTUBRO</v>
      </c>
    </row>
    <row r="1960" spans="1:4" x14ac:dyDescent="0.25">
      <c r="A1960" s="1">
        <v>41214</v>
      </c>
      <c r="B1960">
        <f>YEAR('base-pms_spbrasil'!E1960)</f>
        <v>2012</v>
      </c>
      <c r="C1960">
        <f>MONTH('base-pms_spbrasil'!E1960)</f>
        <v>11</v>
      </c>
      <c r="D1960" s="3" t="str">
        <f>UPPER(TEXT('base-pms_spbrasil'!E1960,"MMMM"))</f>
        <v>NOVEMBRO</v>
      </c>
    </row>
    <row r="1961" spans="1:4" x14ac:dyDescent="0.25">
      <c r="A1961" s="1">
        <v>41244</v>
      </c>
      <c r="B1961">
        <f>YEAR('base-pms_spbrasil'!E1961)</f>
        <v>2012</v>
      </c>
      <c r="C1961">
        <f>MONTH('base-pms_spbrasil'!E1961)</f>
        <v>12</v>
      </c>
      <c r="D1961" s="3" t="str">
        <f>UPPER(TEXT('base-pms_spbrasil'!E1961,"MMMM"))</f>
        <v>DEZEMBRO</v>
      </c>
    </row>
    <row r="1962" spans="1:4" x14ac:dyDescent="0.25">
      <c r="A1962" s="1">
        <v>41275</v>
      </c>
      <c r="B1962">
        <f>YEAR('base-pms_spbrasil'!E1962)</f>
        <v>2013</v>
      </c>
      <c r="C1962">
        <f>MONTH('base-pms_spbrasil'!E1962)</f>
        <v>1</v>
      </c>
      <c r="D1962" s="3" t="str">
        <f>UPPER(TEXT('base-pms_spbrasil'!E1962,"MMMM"))</f>
        <v>JANEIRO</v>
      </c>
    </row>
    <row r="1963" spans="1:4" x14ac:dyDescent="0.25">
      <c r="A1963" s="1">
        <v>41306</v>
      </c>
      <c r="B1963">
        <f>YEAR('base-pms_spbrasil'!E1963)</f>
        <v>2013</v>
      </c>
      <c r="C1963">
        <f>MONTH('base-pms_spbrasil'!E1963)</f>
        <v>2</v>
      </c>
      <c r="D1963" s="3" t="str">
        <f>UPPER(TEXT('base-pms_spbrasil'!E1963,"MMMM"))</f>
        <v>FEVEREIRO</v>
      </c>
    </row>
    <row r="1964" spans="1:4" x14ac:dyDescent="0.25">
      <c r="A1964" s="1">
        <v>41334</v>
      </c>
      <c r="B1964">
        <f>YEAR('base-pms_spbrasil'!E1964)</f>
        <v>2013</v>
      </c>
      <c r="C1964">
        <f>MONTH('base-pms_spbrasil'!E1964)</f>
        <v>3</v>
      </c>
      <c r="D1964" s="3" t="str">
        <f>UPPER(TEXT('base-pms_spbrasil'!E1964,"MMMM"))</f>
        <v>MARÇO</v>
      </c>
    </row>
    <row r="1965" spans="1:4" x14ac:dyDescent="0.25">
      <c r="A1965" s="1">
        <v>41365</v>
      </c>
      <c r="B1965">
        <f>YEAR('base-pms_spbrasil'!E1965)</f>
        <v>2013</v>
      </c>
      <c r="C1965">
        <f>MONTH('base-pms_spbrasil'!E1965)</f>
        <v>4</v>
      </c>
      <c r="D1965" s="3" t="str">
        <f>UPPER(TEXT('base-pms_spbrasil'!E1965,"MMMM"))</f>
        <v>ABRIL</v>
      </c>
    </row>
    <row r="1966" spans="1:4" x14ac:dyDescent="0.25">
      <c r="A1966" s="1">
        <v>41395</v>
      </c>
      <c r="B1966">
        <f>YEAR('base-pms_spbrasil'!E1966)</f>
        <v>2013</v>
      </c>
      <c r="C1966">
        <f>MONTH('base-pms_spbrasil'!E1966)</f>
        <v>5</v>
      </c>
      <c r="D1966" s="3" t="str">
        <f>UPPER(TEXT('base-pms_spbrasil'!E1966,"MMMM"))</f>
        <v>MAIO</v>
      </c>
    </row>
    <row r="1967" spans="1:4" x14ac:dyDescent="0.25">
      <c r="A1967" s="1">
        <v>41426</v>
      </c>
      <c r="B1967">
        <f>YEAR('base-pms_spbrasil'!E1967)</f>
        <v>2013</v>
      </c>
      <c r="C1967">
        <f>MONTH('base-pms_spbrasil'!E1967)</f>
        <v>6</v>
      </c>
      <c r="D1967" s="3" t="str">
        <f>UPPER(TEXT('base-pms_spbrasil'!E1967,"MMMM"))</f>
        <v>JUNHO</v>
      </c>
    </row>
    <row r="1968" spans="1:4" x14ac:dyDescent="0.25">
      <c r="A1968" s="1">
        <v>41456</v>
      </c>
      <c r="B1968">
        <f>YEAR('base-pms_spbrasil'!E1968)</f>
        <v>2013</v>
      </c>
      <c r="C1968">
        <f>MONTH('base-pms_spbrasil'!E1968)</f>
        <v>7</v>
      </c>
      <c r="D1968" s="3" t="str">
        <f>UPPER(TEXT('base-pms_spbrasil'!E1968,"MMMM"))</f>
        <v>JULHO</v>
      </c>
    </row>
    <row r="1969" spans="1:4" x14ac:dyDescent="0.25">
      <c r="A1969" s="1">
        <v>41487</v>
      </c>
      <c r="B1969">
        <f>YEAR('base-pms_spbrasil'!E1969)</f>
        <v>2013</v>
      </c>
      <c r="C1969">
        <f>MONTH('base-pms_spbrasil'!E1969)</f>
        <v>8</v>
      </c>
      <c r="D1969" s="3" t="str">
        <f>UPPER(TEXT('base-pms_spbrasil'!E1969,"MMMM"))</f>
        <v>AGOSTO</v>
      </c>
    </row>
    <row r="1970" spans="1:4" x14ac:dyDescent="0.25">
      <c r="A1970" s="1">
        <v>41518</v>
      </c>
      <c r="B1970">
        <f>YEAR('base-pms_spbrasil'!E1970)</f>
        <v>2013</v>
      </c>
      <c r="C1970">
        <f>MONTH('base-pms_spbrasil'!E1970)</f>
        <v>9</v>
      </c>
      <c r="D1970" s="3" t="str">
        <f>UPPER(TEXT('base-pms_spbrasil'!E1970,"MMMM"))</f>
        <v>SETEMBRO</v>
      </c>
    </row>
    <row r="1971" spans="1:4" x14ac:dyDescent="0.25">
      <c r="A1971" s="1">
        <v>41548</v>
      </c>
      <c r="B1971">
        <f>YEAR('base-pms_spbrasil'!E1971)</f>
        <v>2013</v>
      </c>
      <c r="C1971">
        <f>MONTH('base-pms_spbrasil'!E1971)</f>
        <v>10</v>
      </c>
      <c r="D1971" s="3" t="str">
        <f>UPPER(TEXT('base-pms_spbrasil'!E1971,"MMMM"))</f>
        <v>OUTUBRO</v>
      </c>
    </row>
    <row r="1972" spans="1:4" x14ac:dyDescent="0.25">
      <c r="A1972" s="1">
        <v>41579</v>
      </c>
      <c r="B1972">
        <f>YEAR('base-pms_spbrasil'!E1972)</f>
        <v>2013</v>
      </c>
      <c r="C1972">
        <f>MONTH('base-pms_spbrasil'!E1972)</f>
        <v>11</v>
      </c>
      <c r="D1972" s="3" t="str">
        <f>UPPER(TEXT('base-pms_spbrasil'!E1972,"MMMM"))</f>
        <v>NOVEMBRO</v>
      </c>
    </row>
    <row r="1973" spans="1:4" x14ac:dyDescent="0.25">
      <c r="A1973" s="1">
        <v>41609</v>
      </c>
      <c r="B1973">
        <f>YEAR('base-pms_spbrasil'!E1973)</f>
        <v>2013</v>
      </c>
      <c r="C1973">
        <f>MONTH('base-pms_spbrasil'!E1973)</f>
        <v>12</v>
      </c>
      <c r="D1973" s="3" t="str">
        <f>UPPER(TEXT('base-pms_spbrasil'!E1973,"MMMM"))</f>
        <v>DEZEMBRO</v>
      </c>
    </row>
    <row r="1974" spans="1:4" x14ac:dyDescent="0.25">
      <c r="A1974" s="1">
        <v>41640</v>
      </c>
      <c r="B1974">
        <f>YEAR('base-pms_spbrasil'!E1974)</f>
        <v>2014</v>
      </c>
      <c r="C1974">
        <f>MONTH('base-pms_spbrasil'!E1974)</f>
        <v>1</v>
      </c>
      <c r="D1974" s="3" t="str">
        <f>UPPER(TEXT('base-pms_spbrasil'!E1974,"MMMM"))</f>
        <v>JANEIRO</v>
      </c>
    </row>
    <row r="1975" spans="1:4" x14ac:dyDescent="0.25">
      <c r="A1975" s="1">
        <v>41671</v>
      </c>
      <c r="B1975">
        <f>YEAR('base-pms_spbrasil'!E1975)</f>
        <v>2014</v>
      </c>
      <c r="C1975">
        <f>MONTH('base-pms_spbrasil'!E1975)</f>
        <v>2</v>
      </c>
      <c r="D1975" s="3" t="str">
        <f>UPPER(TEXT('base-pms_spbrasil'!E1975,"MMMM"))</f>
        <v>FEVEREIRO</v>
      </c>
    </row>
    <row r="1976" spans="1:4" x14ac:dyDescent="0.25">
      <c r="A1976" s="1">
        <v>41699</v>
      </c>
      <c r="B1976">
        <f>YEAR('base-pms_spbrasil'!E1976)</f>
        <v>2014</v>
      </c>
      <c r="C1976">
        <f>MONTH('base-pms_spbrasil'!E1976)</f>
        <v>3</v>
      </c>
      <c r="D1976" s="3" t="str">
        <f>UPPER(TEXT('base-pms_spbrasil'!E1976,"MMMM"))</f>
        <v>MARÇO</v>
      </c>
    </row>
    <row r="1977" spans="1:4" x14ac:dyDescent="0.25">
      <c r="A1977" s="1">
        <v>41730</v>
      </c>
      <c r="B1977">
        <f>YEAR('base-pms_spbrasil'!E1977)</f>
        <v>2014</v>
      </c>
      <c r="C1977">
        <f>MONTH('base-pms_spbrasil'!E1977)</f>
        <v>4</v>
      </c>
      <c r="D1977" s="3" t="str">
        <f>UPPER(TEXT('base-pms_spbrasil'!E1977,"MMMM"))</f>
        <v>ABRIL</v>
      </c>
    </row>
    <row r="1978" spans="1:4" x14ac:dyDescent="0.25">
      <c r="A1978" s="1">
        <v>41760</v>
      </c>
      <c r="B1978">
        <f>YEAR('base-pms_spbrasil'!E1978)</f>
        <v>2014</v>
      </c>
      <c r="C1978">
        <f>MONTH('base-pms_spbrasil'!E1978)</f>
        <v>5</v>
      </c>
      <c r="D1978" s="3" t="str">
        <f>UPPER(TEXT('base-pms_spbrasil'!E1978,"MMMM"))</f>
        <v>MAIO</v>
      </c>
    </row>
    <row r="1979" spans="1:4" x14ac:dyDescent="0.25">
      <c r="A1979" s="1">
        <v>41791</v>
      </c>
      <c r="B1979">
        <f>YEAR('base-pms_spbrasil'!E1979)</f>
        <v>2014</v>
      </c>
      <c r="C1979">
        <f>MONTH('base-pms_spbrasil'!E1979)</f>
        <v>6</v>
      </c>
      <c r="D1979" s="3" t="str">
        <f>UPPER(TEXT('base-pms_spbrasil'!E1979,"MMMM"))</f>
        <v>JUNHO</v>
      </c>
    </row>
    <row r="1980" spans="1:4" x14ac:dyDescent="0.25">
      <c r="A1980" s="1">
        <v>41821</v>
      </c>
      <c r="B1980">
        <f>YEAR('base-pms_spbrasil'!E1980)</f>
        <v>2014</v>
      </c>
      <c r="C1980">
        <f>MONTH('base-pms_spbrasil'!E1980)</f>
        <v>7</v>
      </c>
      <c r="D1980" s="3" t="str">
        <f>UPPER(TEXT('base-pms_spbrasil'!E1980,"MMMM"))</f>
        <v>JULHO</v>
      </c>
    </row>
    <row r="1981" spans="1:4" x14ac:dyDescent="0.25">
      <c r="A1981" s="1">
        <v>41852</v>
      </c>
      <c r="B1981">
        <f>YEAR('base-pms_spbrasil'!E1981)</f>
        <v>2014</v>
      </c>
      <c r="C1981">
        <f>MONTH('base-pms_spbrasil'!E1981)</f>
        <v>8</v>
      </c>
      <c r="D1981" s="3" t="str">
        <f>UPPER(TEXT('base-pms_spbrasil'!E1981,"MMMM"))</f>
        <v>AGOSTO</v>
      </c>
    </row>
    <row r="1982" spans="1:4" x14ac:dyDescent="0.25">
      <c r="A1982" s="1">
        <v>41883</v>
      </c>
      <c r="B1982">
        <f>YEAR('base-pms_spbrasil'!E1982)</f>
        <v>2014</v>
      </c>
      <c r="C1982">
        <f>MONTH('base-pms_spbrasil'!E1982)</f>
        <v>9</v>
      </c>
      <c r="D1982" s="3" t="str">
        <f>UPPER(TEXT('base-pms_spbrasil'!E1982,"MMMM"))</f>
        <v>SETEMBRO</v>
      </c>
    </row>
    <row r="1983" spans="1:4" x14ac:dyDescent="0.25">
      <c r="A1983" s="1">
        <v>41913</v>
      </c>
      <c r="B1983">
        <f>YEAR('base-pms_spbrasil'!E1983)</f>
        <v>2014</v>
      </c>
      <c r="C1983">
        <f>MONTH('base-pms_spbrasil'!E1983)</f>
        <v>10</v>
      </c>
      <c r="D1983" s="3" t="str">
        <f>UPPER(TEXT('base-pms_spbrasil'!E1983,"MMMM"))</f>
        <v>OUTUBRO</v>
      </c>
    </row>
    <row r="1984" spans="1:4" x14ac:dyDescent="0.25">
      <c r="A1984" s="1">
        <v>41944</v>
      </c>
      <c r="B1984">
        <f>YEAR('base-pms_spbrasil'!E1984)</f>
        <v>2014</v>
      </c>
      <c r="C1984">
        <f>MONTH('base-pms_spbrasil'!E1984)</f>
        <v>11</v>
      </c>
      <c r="D1984" s="3" t="str">
        <f>UPPER(TEXT('base-pms_spbrasil'!E1984,"MMMM"))</f>
        <v>NOVEMBRO</v>
      </c>
    </row>
    <row r="1985" spans="1:4" x14ac:dyDescent="0.25">
      <c r="A1985" s="1">
        <v>41974</v>
      </c>
      <c r="B1985">
        <f>YEAR('base-pms_spbrasil'!E1985)</f>
        <v>2014</v>
      </c>
      <c r="C1985">
        <f>MONTH('base-pms_spbrasil'!E1985)</f>
        <v>12</v>
      </c>
      <c r="D1985" s="3" t="str">
        <f>UPPER(TEXT('base-pms_spbrasil'!E1985,"MMMM"))</f>
        <v>DEZEMBRO</v>
      </c>
    </row>
    <row r="1986" spans="1:4" x14ac:dyDescent="0.25">
      <c r="A1986" s="1">
        <v>42005</v>
      </c>
      <c r="B1986">
        <f>YEAR('base-pms_spbrasil'!E1986)</f>
        <v>2015</v>
      </c>
      <c r="C1986">
        <f>MONTH('base-pms_spbrasil'!E1986)</f>
        <v>1</v>
      </c>
      <c r="D1986" s="3" t="str">
        <f>UPPER(TEXT('base-pms_spbrasil'!E1986,"MMMM"))</f>
        <v>JANEIRO</v>
      </c>
    </row>
    <row r="1987" spans="1:4" x14ac:dyDescent="0.25">
      <c r="A1987" s="1">
        <v>42036</v>
      </c>
      <c r="B1987">
        <f>YEAR('base-pms_spbrasil'!E1987)</f>
        <v>2015</v>
      </c>
      <c r="C1987">
        <f>MONTH('base-pms_spbrasil'!E1987)</f>
        <v>2</v>
      </c>
      <c r="D1987" s="3" t="str">
        <f>UPPER(TEXT('base-pms_spbrasil'!E1987,"MMMM"))</f>
        <v>FEVEREIRO</v>
      </c>
    </row>
    <row r="1988" spans="1:4" x14ac:dyDescent="0.25">
      <c r="A1988" s="1">
        <v>42064</v>
      </c>
      <c r="B1988">
        <f>YEAR('base-pms_spbrasil'!E1988)</f>
        <v>2015</v>
      </c>
      <c r="C1988">
        <f>MONTH('base-pms_spbrasil'!E1988)</f>
        <v>3</v>
      </c>
      <c r="D1988" s="3" t="str">
        <f>UPPER(TEXT('base-pms_spbrasil'!E1988,"MMMM"))</f>
        <v>MARÇO</v>
      </c>
    </row>
    <row r="1989" spans="1:4" x14ac:dyDescent="0.25">
      <c r="A1989" s="1">
        <v>42095</v>
      </c>
      <c r="B1989">
        <f>YEAR('base-pms_spbrasil'!E1989)</f>
        <v>2015</v>
      </c>
      <c r="C1989">
        <f>MONTH('base-pms_spbrasil'!E1989)</f>
        <v>4</v>
      </c>
      <c r="D1989" s="3" t="str">
        <f>UPPER(TEXT('base-pms_spbrasil'!E1989,"MMMM"))</f>
        <v>ABRIL</v>
      </c>
    </row>
    <row r="1990" spans="1:4" x14ac:dyDescent="0.25">
      <c r="A1990" s="1">
        <v>42125</v>
      </c>
      <c r="B1990">
        <f>YEAR('base-pms_spbrasil'!E1990)</f>
        <v>2015</v>
      </c>
      <c r="C1990">
        <f>MONTH('base-pms_spbrasil'!E1990)</f>
        <v>5</v>
      </c>
      <c r="D1990" s="3" t="str">
        <f>UPPER(TEXT('base-pms_spbrasil'!E1990,"MMMM"))</f>
        <v>MAIO</v>
      </c>
    </row>
    <row r="1991" spans="1:4" x14ac:dyDescent="0.25">
      <c r="A1991" s="1">
        <v>42156</v>
      </c>
      <c r="B1991">
        <f>YEAR('base-pms_spbrasil'!E1991)</f>
        <v>2015</v>
      </c>
      <c r="C1991">
        <f>MONTH('base-pms_spbrasil'!E1991)</f>
        <v>6</v>
      </c>
      <c r="D1991" s="3" t="str">
        <f>UPPER(TEXT('base-pms_spbrasil'!E1991,"MMMM"))</f>
        <v>JUNHO</v>
      </c>
    </row>
    <row r="1992" spans="1:4" x14ac:dyDescent="0.25">
      <c r="A1992" s="1">
        <v>42186</v>
      </c>
      <c r="B1992">
        <f>YEAR('base-pms_spbrasil'!E1992)</f>
        <v>2015</v>
      </c>
      <c r="C1992">
        <f>MONTH('base-pms_spbrasil'!E1992)</f>
        <v>7</v>
      </c>
      <c r="D1992" s="3" t="str">
        <f>UPPER(TEXT('base-pms_spbrasil'!E1992,"MMMM"))</f>
        <v>JULHO</v>
      </c>
    </row>
    <row r="1993" spans="1:4" x14ac:dyDescent="0.25">
      <c r="A1993" s="1">
        <v>42217</v>
      </c>
      <c r="B1993">
        <f>YEAR('base-pms_spbrasil'!E1993)</f>
        <v>2015</v>
      </c>
      <c r="C1993">
        <f>MONTH('base-pms_spbrasil'!E1993)</f>
        <v>8</v>
      </c>
      <c r="D1993" s="3" t="str">
        <f>UPPER(TEXT('base-pms_spbrasil'!E1993,"MMMM"))</f>
        <v>AGOSTO</v>
      </c>
    </row>
    <row r="1994" spans="1:4" x14ac:dyDescent="0.25">
      <c r="A1994" s="1">
        <v>42248</v>
      </c>
      <c r="B1994">
        <f>YEAR('base-pms_spbrasil'!E1994)</f>
        <v>2015</v>
      </c>
      <c r="C1994">
        <f>MONTH('base-pms_spbrasil'!E1994)</f>
        <v>9</v>
      </c>
      <c r="D1994" s="3" t="str">
        <f>UPPER(TEXT('base-pms_spbrasil'!E1994,"MMMM"))</f>
        <v>SETEMBRO</v>
      </c>
    </row>
    <row r="1995" spans="1:4" x14ac:dyDescent="0.25">
      <c r="A1995" s="1">
        <v>42278</v>
      </c>
      <c r="B1995">
        <f>YEAR('base-pms_spbrasil'!E1995)</f>
        <v>2015</v>
      </c>
      <c r="C1995">
        <f>MONTH('base-pms_spbrasil'!E1995)</f>
        <v>10</v>
      </c>
      <c r="D1995" s="3" t="str">
        <f>UPPER(TEXT('base-pms_spbrasil'!E1995,"MMMM"))</f>
        <v>OUTUBRO</v>
      </c>
    </row>
    <row r="1996" spans="1:4" x14ac:dyDescent="0.25">
      <c r="A1996" s="1">
        <v>42309</v>
      </c>
      <c r="B1996">
        <f>YEAR('base-pms_spbrasil'!E1996)</f>
        <v>2015</v>
      </c>
      <c r="C1996">
        <f>MONTH('base-pms_spbrasil'!E1996)</f>
        <v>11</v>
      </c>
      <c r="D1996" s="3" t="str">
        <f>UPPER(TEXT('base-pms_spbrasil'!E1996,"MMMM"))</f>
        <v>NOVEMBRO</v>
      </c>
    </row>
    <row r="1997" spans="1:4" x14ac:dyDescent="0.25">
      <c r="A1997" s="1">
        <v>42339</v>
      </c>
      <c r="B1997">
        <f>YEAR('base-pms_spbrasil'!E1997)</f>
        <v>2015</v>
      </c>
      <c r="C1997">
        <f>MONTH('base-pms_spbrasil'!E1997)</f>
        <v>12</v>
      </c>
      <c r="D1997" s="3" t="str">
        <f>UPPER(TEXT('base-pms_spbrasil'!E1997,"MMMM"))</f>
        <v>DEZEMBRO</v>
      </c>
    </row>
    <row r="1998" spans="1:4" x14ac:dyDescent="0.25">
      <c r="A1998" s="1">
        <v>42370</v>
      </c>
      <c r="B1998">
        <f>YEAR('base-pms_spbrasil'!E1998)</f>
        <v>2016</v>
      </c>
      <c r="C1998">
        <f>MONTH('base-pms_spbrasil'!E1998)</f>
        <v>1</v>
      </c>
      <c r="D1998" s="3" t="str">
        <f>UPPER(TEXT('base-pms_spbrasil'!E1998,"MMMM"))</f>
        <v>JANEIRO</v>
      </c>
    </row>
    <row r="1999" spans="1:4" x14ac:dyDescent="0.25">
      <c r="A1999" s="1">
        <v>42401</v>
      </c>
      <c r="B1999">
        <f>YEAR('base-pms_spbrasil'!E1999)</f>
        <v>2016</v>
      </c>
      <c r="C1999">
        <f>MONTH('base-pms_spbrasil'!E1999)</f>
        <v>2</v>
      </c>
      <c r="D1999" s="3" t="str">
        <f>UPPER(TEXT('base-pms_spbrasil'!E1999,"MMMM"))</f>
        <v>FEVEREIRO</v>
      </c>
    </row>
    <row r="2000" spans="1:4" x14ac:dyDescent="0.25">
      <c r="A2000" s="1">
        <v>42430</v>
      </c>
      <c r="B2000">
        <f>YEAR('base-pms_spbrasil'!E2000)</f>
        <v>2016</v>
      </c>
      <c r="C2000">
        <f>MONTH('base-pms_spbrasil'!E2000)</f>
        <v>3</v>
      </c>
      <c r="D2000" s="3" t="str">
        <f>UPPER(TEXT('base-pms_spbrasil'!E2000,"MMMM"))</f>
        <v>MARÇO</v>
      </c>
    </row>
    <row r="2001" spans="1:4" x14ac:dyDescent="0.25">
      <c r="A2001" s="1">
        <v>42461</v>
      </c>
      <c r="B2001">
        <f>YEAR('base-pms_spbrasil'!E2001)</f>
        <v>2016</v>
      </c>
      <c r="C2001">
        <f>MONTH('base-pms_spbrasil'!E2001)</f>
        <v>4</v>
      </c>
      <c r="D2001" s="3" t="str">
        <f>UPPER(TEXT('base-pms_spbrasil'!E2001,"MMMM"))</f>
        <v>ABRIL</v>
      </c>
    </row>
    <row r="2002" spans="1:4" x14ac:dyDescent="0.25">
      <c r="A2002" s="1">
        <v>42491</v>
      </c>
      <c r="B2002">
        <f>YEAR('base-pms_spbrasil'!E2002)</f>
        <v>2016</v>
      </c>
      <c r="C2002">
        <f>MONTH('base-pms_spbrasil'!E2002)</f>
        <v>5</v>
      </c>
      <c r="D2002" s="3" t="str">
        <f>UPPER(TEXT('base-pms_spbrasil'!E2002,"MMMM"))</f>
        <v>MAIO</v>
      </c>
    </row>
    <row r="2003" spans="1:4" x14ac:dyDescent="0.25">
      <c r="A2003" s="1">
        <v>42522</v>
      </c>
      <c r="B2003">
        <f>YEAR('base-pms_spbrasil'!E2003)</f>
        <v>2016</v>
      </c>
      <c r="C2003">
        <f>MONTH('base-pms_spbrasil'!E2003)</f>
        <v>6</v>
      </c>
      <c r="D2003" s="3" t="str">
        <f>UPPER(TEXT('base-pms_spbrasil'!E2003,"MMMM"))</f>
        <v>JUNHO</v>
      </c>
    </row>
    <row r="2004" spans="1:4" x14ac:dyDescent="0.25">
      <c r="A2004" s="1">
        <v>42552</v>
      </c>
      <c r="B2004">
        <f>YEAR('base-pms_spbrasil'!E2004)</f>
        <v>2016</v>
      </c>
      <c r="C2004">
        <f>MONTH('base-pms_spbrasil'!E2004)</f>
        <v>7</v>
      </c>
      <c r="D2004" s="3" t="str">
        <f>UPPER(TEXT('base-pms_spbrasil'!E2004,"MMMM"))</f>
        <v>JULHO</v>
      </c>
    </row>
    <row r="2005" spans="1:4" x14ac:dyDescent="0.25">
      <c r="A2005" s="1">
        <v>42583</v>
      </c>
      <c r="B2005">
        <f>YEAR('base-pms_spbrasil'!E2005)</f>
        <v>2016</v>
      </c>
      <c r="C2005">
        <f>MONTH('base-pms_spbrasil'!E2005)</f>
        <v>8</v>
      </c>
      <c r="D2005" s="3" t="str">
        <f>UPPER(TEXT('base-pms_spbrasil'!E2005,"MMMM"))</f>
        <v>AGOSTO</v>
      </c>
    </row>
    <row r="2006" spans="1:4" x14ac:dyDescent="0.25">
      <c r="A2006" s="1">
        <v>42614</v>
      </c>
      <c r="B2006">
        <f>YEAR('base-pms_spbrasil'!E2006)</f>
        <v>2016</v>
      </c>
      <c r="C2006">
        <f>MONTH('base-pms_spbrasil'!E2006)</f>
        <v>9</v>
      </c>
      <c r="D2006" s="3" t="str">
        <f>UPPER(TEXT('base-pms_spbrasil'!E2006,"MMMM"))</f>
        <v>SETEMBRO</v>
      </c>
    </row>
    <row r="2007" spans="1:4" x14ac:dyDescent="0.25">
      <c r="A2007" s="1">
        <v>42644</v>
      </c>
      <c r="B2007">
        <f>YEAR('base-pms_spbrasil'!E2007)</f>
        <v>2016</v>
      </c>
      <c r="C2007">
        <f>MONTH('base-pms_spbrasil'!E2007)</f>
        <v>10</v>
      </c>
      <c r="D2007" s="3" t="str">
        <f>UPPER(TEXT('base-pms_spbrasil'!E2007,"MMMM"))</f>
        <v>OUTUBRO</v>
      </c>
    </row>
    <row r="2008" spans="1:4" x14ac:dyDescent="0.25">
      <c r="A2008" s="1">
        <v>42675</v>
      </c>
      <c r="B2008">
        <f>YEAR('base-pms_spbrasil'!E2008)</f>
        <v>2016</v>
      </c>
      <c r="C2008">
        <f>MONTH('base-pms_spbrasil'!E2008)</f>
        <v>11</v>
      </c>
      <c r="D2008" s="3" t="str">
        <f>UPPER(TEXT('base-pms_spbrasil'!E2008,"MMMM"))</f>
        <v>NOVEMBRO</v>
      </c>
    </row>
    <row r="2009" spans="1:4" x14ac:dyDescent="0.25">
      <c r="A2009" s="1">
        <v>42705</v>
      </c>
      <c r="B2009">
        <f>YEAR('base-pms_spbrasil'!E2009)</f>
        <v>2016</v>
      </c>
      <c r="C2009">
        <f>MONTH('base-pms_spbrasil'!E2009)</f>
        <v>12</v>
      </c>
      <c r="D2009" s="3" t="str">
        <f>UPPER(TEXT('base-pms_spbrasil'!E2009,"MMMM"))</f>
        <v>DEZEMBRO</v>
      </c>
    </row>
    <row r="2010" spans="1:4" x14ac:dyDescent="0.25">
      <c r="A2010" s="1">
        <v>42736</v>
      </c>
      <c r="B2010">
        <f>YEAR('base-pms_spbrasil'!E2010)</f>
        <v>2017</v>
      </c>
      <c r="C2010">
        <f>MONTH('base-pms_spbrasil'!E2010)</f>
        <v>1</v>
      </c>
      <c r="D2010" s="3" t="str">
        <f>UPPER(TEXT('base-pms_spbrasil'!E2010,"MMMM"))</f>
        <v>JANEIRO</v>
      </c>
    </row>
    <row r="2011" spans="1:4" x14ac:dyDescent="0.25">
      <c r="A2011" s="1">
        <v>42767</v>
      </c>
      <c r="B2011">
        <f>YEAR('base-pms_spbrasil'!E2011)</f>
        <v>2017</v>
      </c>
      <c r="C2011">
        <f>MONTH('base-pms_spbrasil'!E2011)</f>
        <v>2</v>
      </c>
      <c r="D2011" s="3" t="str">
        <f>UPPER(TEXT('base-pms_spbrasil'!E2011,"MMMM"))</f>
        <v>FEVEREIRO</v>
      </c>
    </row>
    <row r="2012" spans="1:4" x14ac:dyDescent="0.25">
      <c r="A2012" s="1">
        <v>42795</v>
      </c>
      <c r="B2012">
        <f>YEAR('base-pms_spbrasil'!E2012)</f>
        <v>2017</v>
      </c>
      <c r="C2012">
        <f>MONTH('base-pms_spbrasil'!E2012)</f>
        <v>3</v>
      </c>
      <c r="D2012" s="3" t="str">
        <f>UPPER(TEXT('base-pms_spbrasil'!E2012,"MMMM"))</f>
        <v>MARÇO</v>
      </c>
    </row>
    <row r="2013" spans="1:4" x14ac:dyDescent="0.25">
      <c r="A2013" s="1">
        <v>42826</v>
      </c>
      <c r="B2013">
        <f>YEAR('base-pms_spbrasil'!E2013)</f>
        <v>2017</v>
      </c>
      <c r="C2013">
        <f>MONTH('base-pms_spbrasil'!E2013)</f>
        <v>4</v>
      </c>
      <c r="D2013" s="3" t="str">
        <f>UPPER(TEXT('base-pms_spbrasil'!E2013,"MMMM"))</f>
        <v>ABRIL</v>
      </c>
    </row>
    <row r="2014" spans="1:4" x14ac:dyDescent="0.25">
      <c r="A2014" s="1">
        <v>42856</v>
      </c>
      <c r="B2014">
        <f>YEAR('base-pms_spbrasil'!E2014)</f>
        <v>2017</v>
      </c>
      <c r="C2014">
        <f>MONTH('base-pms_spbrasil'!E2014)</f>
        <v>5</v>
      </c>
      <c r="D2014" s="3" t="str">
        <f>UPPER(TEXT('base-pms_spbrasil'!E2014,"MMMM"))</f>
        <v>MAIO</v>
      </c>
    </row>
    <row r="2015" spans="1:4" x14ac:dyDescent="0.25">
      <c r="A2015" s="1">
        <v>42887</v>
      </c>
      <c r="B2015">
        <f>YEAR('base-pms_spbrasil'!E2015)</f>
        <v>2017</v>
      </c>
      <c r="C2015">
        <f>MONTH('base-pms_spbrasil'!E2015)</f>
        <v>6</v>
      </c>
      <c r="D2015" s="3" t="str">
        <f>UPPER(TEXT('base-pms_spbrasil'!E2015,"MMMM"))</f>
        <v>JUNHO</v>
      </c>
    </row>
    <row r="2016" spans="1:4" x14ac:dyDescent="0.25">
      <c r="A2016" s="1">
        <v>42917</v>
      </c>
      <c r="B2016">
        <f>YEAR('base-pms_spbrasil'!E2016)</f>
        <v>2017</v>
      </c>
      <c r="C2016">
        <f>MONTH('base-pms_spbrasil'!E2016)</f>
        <v>7</v>
      </c>
      <c r="D2016" s="3" t="str">
        <f>UPPER(TEXT('base-pms_spbrasil'!E2016,"MMMM"))</f>
        <v>JULHO</v>
      </c>
    </row>
    <row r="2017" spans="1:4" x14ac:dyDescent="0.25">
      <c r="A2017" s="1">
        <v>42948</v>
      </c>
      <c r="B2017">
        <f>YEAR('base-pms_spbrasil'!E2017)</f>
        <v>2017</v>
      </c>
      <c r="C2017">
        <f>MONTH('base-pms_spbrasil'!E2017)</f>
        <v>8</v>
      </c>
      <c r="D2017" s="3" t="str">
        <f>UPPER(TEXT('base-pms_spbrasil'!E2017,"MMMM"))</f>
        <v>AGOSTO</v>
      </c>
    </row>
    <row r="2018" spans="1:4" x14ac:dyDescent="0.25">
      <c r="A2018" s="1">
        <v>42979</v>
      </c>
      <c r="B2018">
        <f>YEAR('base-pms_spbrasil'!E2018)</f>
        <v>2017</v>
      </c>
      <c r="C2018">
        <f>MONTH('base-pms_spbrasil'!E2018)</f>
        <v>9</v>
      </c>
      <c r="D2018" s="3" t="str">
        <f>UPPER(TEXT('base-pms_spbrasil'!E2018,"MMMM"))</f>
        <v>SETEMBRO</v>
      </c>
    </row>
    <row r="2019" spans="1:4" x14ac:dyDescent="0.25">
      <c r="A2019" s="1">
        <v>43009</v>
      </c>
      <c r="B2019">
        <f>YEAR('base-pms_spbrasil'!E2019)</f>
        <v>2017</v>
      </c>
      <c r="C2019">
        <f>MONTH('base-pms_spbrasil'!E2019)</f>
        <v>10</v>
      </c>
      <c r="D2019" s="3" t="str">
        <f>UPPER(TEXT('base-pms_spbrasil'!E2019,"MMMM"))</f>
        <v>OUTUBRO</v>
      </c>
    </row>
    <row r="2020" spans="1:4" x14ac:dyDescent="0.25">
      <c r="A2020" s="1">
        <v>43040</v>
      </c>
      <c r="B2020">
        <f>YEAR('base-pms_spbrasil'!E2020)</f>
        <v>2017</v>
      </c>
      <c r="C2020">
        <f>MONTH('base-pms_spbrasil'!E2020)</f>
        <v>11</v>
      </c>
      <c r="D2020" s="3" t="str">
        <f>UPPER(TEXT('base-pms_spbrasil'!E2020,"MMMM"))</f>
        <v>NOVEMBRO</v>
      </c>
    </row>
    <row r="2021" spans="1:4" x14ac:dyDescent="0.25">
      <c r="A2021" s="1">
        <v>43070</v>
      </c>
      <c r="B2021">
        <f>YEAR('base-pms_spbrasil'!E2021)</f>
        <v>2017</v>
      </c>
      <c r="C2021">
        <f>MONTH('base-pms_spbrasil'!E2021)</f>
        <v>12</v>
      </c>
      <c r="D2021" s="3" t="str">
        <f>UPPER(TEXT('base-pms_spbrasil'!E2021,"MMMM"))</f>
        <v>DEZEMBRO</v>
      </c>
    </row>
    <row r="2022" spans="1:4" x14ac:dyDescent="0.25">
      <c r="A2022" s="1">
        <v>43101</v>
      </c>
      <c r="B2022">
        <f>YEAR('base-pms_spbrasil'!E2022)</f>
        <v>2018</v>
      </c>
      <c r="C2022">
        <f>MONTH('base-pms_spbrasil'!E2022)</f>
        <v>1</v>
      </c>
      <c r="D2022" s="3" t="str">
        <f>UPPER(TEXT('base-pms_spbrasil'!E2022,"MMMM"))</f>
        <v>JANEIRO</v>
      </c>
    </row>
    <row r="2023" spans="1:4" x14ac:dyDescent="0.25">
      <c r="A2023" s="1">
        <v>43132</v>
      </c>
      <c r="B2023">
        <f>YEAR('base-pms_spbrasil'!E2023)</f>
        <v>2018</v>
      </c>
      <c r="C2023">
        <f>MONTH('base-pms_spbrasil'!E2023)</f>
        <v>2</v>
      </c>
      <c r="D2023" s="3" t="str">
        <f>UPPER(TEXT('base-pms_spbrasil'!E2023,"MMMM"))</f>
        <v>FEVEREIRO</v>
      </c>
    </row>
    <row r="2024" spans="1:4" x14ac:dyDescent="0.25">
      <c r="A2024" s="1">
        <v>43160</v>
      </c>
      <c r="B2024">
        <f>YEAR('base-pms_spbrasil'!E2024)</f>
        <v>2018</v>
      </c>
      <c r="C2024">
        <f>MONTH('base-pms_spbrasil'!E2024)</f>
        <v>3</v>
      </c>
      <c r="D2024" s="3" t="str">
        <f>UPPER(TEXT('base-pms_spbrasil'!E2024,"MMMM"))</f>
        <v>MARÇO</v>
      </c>
    </row>
    <row r="2025" spans="1:4" x14ac:dyDescent="0.25">
      <c r="A2025" s="1">
        <v>43191</v>
      </c>
      <c r="B2025">
        <f>YEAR('base-pms_spbrasil'!E2025)</f>
        <v>2018</v>
      </c>
      <c r="C2025">
        <f>MONTH('base-pms_spbrasil'!E2025)</f>
        <v>4</v>
      </c>
      <c r="D2025" s="3" t="str">
        <f>UPPER(TEXT('base-pms_spbrasil'!E2025,"MMMM"))</f>
        <v>ABRIL</v>
      </c>
    </row>
    <row r="2026" spans="1:4" x14ac:dyDescent="0.25">
      <c r="A2026" s="1">
        <v>43221</v>
      </c>
      <c r="B2026">
        <f>YEAR('base-pms_spbrasil'!E2026)</f>
        <v>2018</v>
      </c>
      <c r="C2026">
        <f>MONTH('base-pms_spbrasil'!E2026)</f>
        <v>5</v>
      </c>
      <c r="D2026" s="3" t="str">
        <f>UPPER(TEXT('base-pms_spbrasil'!E2026,"MMMM"))</f>
        <v>MAIO</v>
      </c>
    </row>
    <row r="2027" spans="1:4" x14ac:dyDescent="0.25">
      <c r="A2027" s="1">
        <v>43252</v>
      </c>
      <c r="B2027">
        <f>YEAR('base-pms_spbrasil'!E2027)</f>
        <v>2018</v>
      </c>
      <c r="C2027">
        <f>MONTH('base-pms_spbrasil'!E2027)</f>
        <v>6</v>
      </c>
      <c r="D2027" s="3" t="str">
        <f>UPPER(TEXT('base-pms_spbrasil'!E2027,"MMMM"))</f>
        <v>JUNHO</v>
      </c>
    </row>
    <row r="2028" spans="1:4" x14ac:dyDescent="0.25">
      <c r="A2028" s="1">
        <v>43282</v>
      </c>
      <c r="B2028">
        <f>YEAR('base-pms_spbrasil'!E2028)</f>
        <v>2018</v>
      </c>
      <c r="C2028">
        <f>MONTH('base-pms_spbrasil'!E2028)</f>
        <v>7</v>
      </c>
      <c r="D2028" s="3" t="str">
        <f>UPPER(TEXT('base-pms_spbrasil'!E2028,"MMMM"))</f>
        <v>JULHO</v>
      </c>
    </row>
    <row r="2029" spans="1:4" x14ac:dyDescent="0.25">
      <c r="A2029" s="1">
        <v>43313</v>
      </c>
      <c r="B2029">
        <f>YEAR('base-pms_spbrasil'!E2029)</f>
        <v>2018</v>
      </c>
      <c r="C2029">
        <f>MONTH('base-pms_spbrasil'!E2029)</f>
        <v>8</v>
      </c>
      <c r="D2029" s="3" t="str">
        <f>UPPER(TEXT('base-pms_spbrasil'!E2029,"MMMM"))</f>
        <v>AGOSTO</v>
      </c>
    </row>
    <row r="2030" spans="1:4" x14ac:dyDescent="0.25">
      <c r="A2030" s="1">
        <v>43344</v>
      </c>
      <c r="B2030">
        <f>YEAR('base-pms_spbrasil'!E2030)</f>
        <v>2018</v>
      </c>
      <c r="C2030">
        <f>MONTH('base-pms_spbrasil'!E2030)</f>
        <v>9</v>
      </c>
      <c r="D2030" s="3" t="str">
        <f>UPPER(TEXT('base-pms_spbrasil'!E2030,"MMMM"))</f>
        <v>SETEMBRO</v>
      </c>
    </row>
    <row r="2031" spans="1:4" x14ac:dyDescent="0.25">
      <c r="A2031" s="1">
        <v>43374</v>
      </c>
      <c r="B2031">
        <f>YEAR('base-pms_spbrasil'!E2031)</f>
        <v>2018</v>
      </c>
      <c r="C2031">
        <f>MONTH('base-pms_spbrasil'!E2031)</f>
        <v>10</v>
      </c>
      <c r="D2031" s="3" t="str">
        <f>UPPER(TEXT('base-pms_spbrasil'!E2031,"MMMM"))</f>
        <v>OUTUBRO</v>
      </c>
    </row>
    <row r="2032" spans="1:4" x14ac:dyDescent="0.25">
      <c r="A2032" s="1">
        <v>43405</v>
      </c>
      <c r="B2032">
        <f>YEAR('base-pms_spbrasil'!E2032)</f>
        <v>2018</v>
      </c>
      <c r="C2032">
        <f>MONTH('base-pms_spbrasil'!E2032)</f>
        <v>11</v>
      </c>
      <c r="D2032" s="3" t="str">
        <f>UPPER(TEXT('base-pms_spbrasil'!E2032,"MMMM"))</f>
        <v>NOVEMBRO</v>
      </c>
    </row>
    <row r="2033" spans="1:4" x14ac:dyDescent="0.25">
      <c r="A2033" s="1">
        <v>43435</v>
      </c>
      <c r="B2033">
        <f>YEAR('base-pms_spbrasil'!E2033)</f>
        <v>2018</v>
      </c>
      <c r="C2033">
        <f>MONTH('base-pms_spbrasil'!E2033)</f>
        <v>12</v>
      </c>
      <c r="D2033" s="3" t="str">
        <f>UPPER(TEXT('base-pms_spbrasil'!E2033,"MMMM"))</f>
        <v>DEZEMBRO</v>
      </c>
    </row>
    <row r="2034" spans="1:4" x14ac:dyDescent="0.25">
      <c r="A2034" s="1">
        <v>43466</v>
      </c>
      <c r="B2034">
        <f>YEAR('base-pms_spbrasil'!E2034)</f>
        <v>2019</v>
      </c>
      <c r="C2034">
        <f>MONTH('base-pms_spbrasil'!E2034)</f>
        <v>1</v>
      </c>
      <c r="D2034" s="3" t="str">
        <f>UPPER(TEXT('base-pms_spbrasil'!E2034,"MMMM"))</f>
        <v>JANEIRO</v>
      </c>
    </row>
    <row r="2035" spans="1:4" x14ac:dyDescent="0.25">
      <c r="A2035" s="1">
        <v>43497</v>
      </c>
      <c r="B2035">
        <f>YEAR('base-pms_spbrasil'!E2035)</f>
        <v>2019</v>
      </c>
      <c r="C2035">
        <f>MONTH('base-pms_spbrasil'!E2035)</f>
        <v>2</v>
      </c>
      <c r="D2035" s="3" t="str">
        <f>UPPER(TEXT('base-pms_spbrasil'!E2035,"MMMM"))</f>
        <v>FEVEREIRO</v>
      </c>
    </row>
    <row r="2036" spans="1:4" x14ac:dyDescent="0.25">
      <c r="A2036" s="1">
        <v>43525</v>
      </c>
      <c r="B2036">
        <f>YEAR('base-pms_spbrasil'!E2036)</f>
        <v>2019</v>
      </c>
      <c r="C2036">
        <f>MONTH('base-pms_spbrasil'!E2036)</f>
        <v>3</v>
      </c>
      <c r="D2036" s="3" t="str">
        <f>UPPER(TEXT('base-pms_spbrasil'!E2036,"MMMM"))</f>
        <v>MARÇO</v>
      </c>
    </row>
    <row r="2037" spans="1:4" x14ac:dyDescent="0.25">
      <c r="A2037" s="1">
        <v>43556</v>
      </c>
      <c r="B2037">
        <f>YEAR('base-pms_spbrasil'!E2037)</f>
        <v>2019</v>
      </c>
      <c r="C2037">
        <f>MONTH('base-pms_spbrasil'!E2037)</f>
        <v>4</v>
      </c>
      <c r="D2037" s="3" t="str">
        <f>UPPER(TEXT('base-pms_spbrasil'!E2037,"MMMM"))</f>
        <v>ABRIL</v>
      </c>
    </row>
    <row r="2038" spans="1:4" x14ac:dyDescent="0.25">
      <c r="A2038" s="1">
        <v>43586</v>
      </c>
      <c r="B2038">
        <f>YEAR('base-pms_spbrasil'!E2038)</f>
        <v>2019</v>
      </c>
      <c r="C2038">
        <f>MONTH('base-pms_spbrasil'!E2038)</f>
        <v>5</v>
      </c>
      <c r="D2038" s="3" t="str">
        <f>UPPER(TEXT('base-pms_spbrasil'!E2038,"MMMM"))</f>
        <v>MAIO</v>
      </c>
    </row>
    <row r="2039" spans="1:4" x14ac:dyDescent="0.25">
      <c r="A2039" s="1">
        <v>43617</v>
      </c>
      <c r="B2039">
        <f>YEAR('base-pms_spbrasil'!E2039)</f>
        <v>2019</v>
      </c>
      <c r="C2039">
        <f>MONTH('base-pms_spbrasil'!E2039)</f>
        <v>6</v>
      </c>
      <c r="D2039" s="3" t="str">
        <f>UPPER(TEXT('base-pms_spbrasil'!E2039,"MMMM"))</f>
        <v>JUNHO</v>
      </c>
    </row>
    <row r="2040" spans="1:4" x14ac:dyDescent="0.25">
      <c r="A2040" s="1">
        <v>43647</v>
      </c>
      <c r="B2040">
        <f>YEAR('base-pms_spbrasil'!E2040)</f>
        <v>2019</v>
      </c>
      <c r="C2040">
        <f>MONTH('base-pms_spbrasil'!E2040)</f>
        <v>7</v>
      </c>
      <c r="D2040" s="3" t="str">
        <f>UPPER(TEXT('base-pms_spbrasil'!E2040,"MMMM"))</f>
        <v>JULHO</v>
      </c>
    </row>
    <row r="2041" spans="1:4" x14ac:dyDescent="0.25">
      <c r="A2041" s="1">
        <v>43678</v>
      </c>
      <c r="B2041">
        <f>YEAR('base-pms_spbrasil'!E2041)</f>
        <v>2019</v>
      </c>
      <c r="C2041">
        <f>MONTH('base-pms_spbrasil'!E2041)</f>
        <v>8</v>
      </c>
      <c r="D2041" s="3" t="str">
        <f>UPPER(TEXT('base-pms_spbrasil'!E2041,"MMMM"))</f>
        <v>AGOSTO</v>
      </c>
    </row>
    <row r="2042" spans="1:4" x14ac:dyDescent="0.25">
      <c r="A2042" s="1">
        <v>43709</v>
      </c>
      <c r="B2042">
        <f>YEAR('base-pms_spbrasil'!E2042)</f>
        <v>2019</v>
      </c>
      <c r="C2042">
        <f>MONTH('base-pms_spbrasil'!E2042)</f>
        <v>9</v>
      </c>
      <c r="D2042" s="3" t="str">
        <f>UPPER(TEXT('base-pms_spbrasil'!E2042,"MMMM"))</f>
        <v>SETEMBRO</v>
      </c>
    </row>
    <row r="2043" spans="1:4" x14ac:dyDescent="0.25">
      <c r="A2043" s="1">
        <v>43739</v>
      </c>
      <c r="B2043">
        <f>YEAR('base-pms_spbrasil'!E2043)</f>
        <v>2019</v>
      </c>
      <c r="C2043">
        <f>MONTH('base-pms_spbrasil'!E2043)</f>
        <v>10</v>
      </c>
      <c r="D2043" s="3" t="str">
        <f>UPPER(TEXT('base-pms_spbrasil'!E2043,"MMMM"))</f>
        <v>OUTUBRO</v>
      </c>
    </row>
    <row r="2044" spans="1:4" x14ac:dyDescent="0.25">
      <c r="A2044" s="1">
        <v>43770</v>
      </c>
      <c r="B2044">
        <f>YEAR('base-pms_spbrasil'!E2044)</f>
        <v>2019</v>
      </c>
      <c r="C2044">
        <f>MONTH('base-pms_spbrasil'!E2044)</f>
        <v>11</v>
      </c>
      <c r="D2044" s="3" t="str">
        <f>UPPER(TEXT('base-pms_spbrasil'!E2044,"MMMM"))</f>
        <v>NOVEMBRO</v>
      </c>
    </row>
    <row r="2045" spans="1:4" x14ac:dyDescent="0.25">
      <c r="A2045" s="1">
        <v>43800</v>
      </c>
      <c r="B2045">
        <f>YEAR('base-pms_spbrasil'!E2045)</f>
        <v>2019</v>
      </c>
      <c r="C2045">
        <f>MONTH('base-pms_spbrasil'!E2045)</f>
        <v>12</v>
      </c>
      <c r="D2045" s="3" t="str">
        <f>UPPER(TEXT('base-pms_spbrasil'!E2045,"MMMM"))</f>
        <v>DEZEMBRO</v>
      </c>
    </row>
    <row r="2046" spans="1:4" x14ac:dyDescent="0.25">
      <c r="A2046" s="1">
        <v>43831</v>
      </c>
      <c r="B2046">
        <f>YEAR('base-pms_spbrasil'!E2046)</f>
        <v>2020</v>
      </c>
      <c r="C2046">
        <f>MONTH('base-pms_spbrasil'!E2046)</f>
        <v>1</v>
      </c>
      <c r="D2046" s="3" t="str">
        <f>UPPER(TEXT('base-pms_spbrasil'!E2046,"MMMM"))</f>
        <v>JANEIRO</v>
      </c>
    </row>
    <row r="2047" spans="1:4" x14ac:dyDescent="0.25">
      <c r="A2047" s="1">
        <v>43862</v>
      </c>
      <c r="B2047">
        <f>YEAR('base-pms_spbrasil'!E2047)</f>
        <v>2020</v>
      </c>
      <c r="C2047">
        <f>MONTH('base-pms_spbrasil'!E2047)</f>
        <v>2</v>
      </c>
      <c r="D2047" s="3" t="str">
        <f>UPPER(TEXT('base-pms_spbrasil'!E2047,"MMMM"))</f>
        <v>FEVEREIRO</v>
      </c>
    </row>
    <row r="2048" spans="1:4" x14ac:dyDescent="0.25">
      <c r="A2048" s="1">
        <v>43891</v>
      </c>
      <c r="B2048">
        <f>YEAR('base-pms_spbrasil'!E2048)</f>
        <v>2020</v>
      </c>
      <c r="C2048">
        <f>MONTH('base-pms_spbrasil'!E2048)</f>
        <v>3</v>
      </c>
      <c r="D2048" s="3" t="str">
        <f>UPPER(TEXT('base-pms_spbrasil'!E2048,"MMMM"))</f>
        <v>MARÇO</v>
      </c>
    </row>
    <row r="2049" spans="1:4" x14ac:dyDescent="0.25">
      <c r="A2049" s="1">
        <v>43922</v>
      </c>
      <c r="B2049">
        <f>YEAR('base-pms_spbrasil'!E2049)</f>
        <v>2020</v>
      </c>
      <c r="C2049">
        <f>MONTH('base-pms_spbrasil'!E2049)</f>
        <v>4</v>
      </c>
      <c r="D2049" s="3" t="str">
        <f>UPPER(TEXT('base-pms_spbrasil'!E2049,"MMMM"))</f>
        <v>ABRIL</v>
      </c>
    </row>
    <row r="2050" spans="1:4" x14ac:dyDescent="0.25">
      <c r="A2050" s="1">
        <v>43952</v>
      </c>
      <c r="B2050">
        <f>YEAR('base-pms_spbrasil'!E2050)</f>
        <v>2020</v>
      </c>
      <c r="C2050">
        <f>MONTH('base-pms_spbrasil'!E2050)</f>
        <v>5</v>
      </c>
      <c r="D2050" s="3" t="str">
        <f>UPPER(TEXT('base-pms_spbrasil'!E2050,"MMMM"))</f>
        <v>MAIO</v>
      </c>
    </row>
    <row r="2051" spans="1:4" x14ac:dyDescent="0.25">
      <c r="A2051" s="1">
        <v>43983</v>
      </c>
      <c r="B2051">
        <f>YEAR('base-pms_spbrasil'!E2051)</f>
        <v>2020</v>
      </c>
      <c r="C2051">
        <f>MONTH('base-pms_spbrasil'!E2051)</f>
        <v>6</v>
      </c>
      <c r="D2051" s="3" t="str">
        <f>UPPER(TEXT('base-pms_spbrasil'!E2051,"MMMM"))</f>
        <v>JUNHO</v>
      </c>
    </row>
    <row r="2052" spans="1:4" x14ac:dyDescent="0.25">
      <c r="A2052" s="1">
        <v>44013</v>
      </c>
      <c r="B2052">
        <f>YEAR('base-pms_spbrasil'!E2052)</f>
        <v>2020</v>
      </c>
      <c r="C2052">
        <f>MONTH('base-pms_spbrasil'!E2052)</f>
        <v>7</v>
      </c>
      <c r="D2052" s="3" t="str">
        <f>UPPER(TEXT('base-pms_spbrasil'!E2052,"MMMM"))</f>
        <v>JULHO</v>
      </c>
    </row>
    <row r="2053" spans="1:4" x14ac:dyDescent="0.25">
      <c r="A2053" s="1">
        <v>44044</v>
      </c>
      <c r="B2053">
        <f>YEAR('base-pms_spbrasil'!E2053)</f>
        <v>2020</v>
      </c>
      <c r="C2053">
        <f>MONTH('base-pms_spbrasil'!E2053)</f>
        <v>8</v>
      </c>
      <c r="D2053" s="3" t="str">
        <f>UPPER(TEXT('base-pms_spbrasil'!E2053,"MMMM"))</f>
        <v>AGOSTO</v>
      </c>
    </row>
    <row r="2054" spans="1:4" x14ac:dyDescent="0.25">
      <c r="A2054" s="1">
        <v>44075</v>
      </c>
      <c r="B2054">
        <f>YEAR('base-pms_spbrasil'!E2054)</f>
        <v>2020</v>
      </c>
      <c r="C2054">
        <f>MONTH('base-pms_spbrasil'!E2054)</f>
        <v>9</v>
      </c>
      <c r="D2054" s="3" t="str">
        <f>UPPER(TEXT('base-pms_spbrasil'!E2054,"MMMM"))</f>
        <v>SETEMBRO</v>
      </c>
    </row>
    <row r="2055" spans="1:4" x14ac:dyDescent="0.25">
      <c r="A2055" s="1">
        <v>44105</v>
      </c>
      <c r="B2055">
        <f>YEAR('base-pms_spbrasil'!E2055)</f>
        <v>2020</v>
      </c>
      <c r="C2055">
        <f>MONTH('base-pms_spbrasil'!E2055)</f>
        <v>10</v>
      </c>
      <c r="D2055" s="3" t="str">
        <f>UPPER(TEXT('base-pms_spbrasil'!E2055,"MMMM"))</f>
        <v>OUTUBRO</v>
      </c>
    </row>
    <row r="2056" spans="1:4" x14ac:dyDescent="0.25">
      <c r="A2056" s="1">
        <v>44136</v>
      </c>
      <c r="B2056">
        <f>YEAR('base-pms_spbrasil'!E2056)</f>
        <v>2020</v>
      </c>
      <c r="C2056">
        <f>MONTH('base-pms_spbrasil'!E2056)</f>
        <v>11</v>
      </c>
      <c r="D2056" s="3" t="str">
        <f>UPPER(TEXT('base-pms_spbrasil'!E2056,"MMMM"))</f>
        <v>NOVEMBRO</v>
      </c>
    </row>
    <row r="2057" spans="1:4" x14ac:dyDescent="0.25">
      <c r="A2057" s="1">
        <v>44166</v>
      </c>
      <c r="B2057">
        <f>YEAR('base-pms_spbrasil'!E2057)</f>
        <v>2020</v>
      </c>
      <c r="C2057">
        <f>MONTH('base-pms_spbrasil'!E2057)</f>
        <v>12</v>
      </c>
      <c r="D2057" s="3" t="str">
        <f>UPPER(TEXT('base-pms_spbrasil'!E2057,"MMMM"))</f>
        <v>DEZEMBRO</v>
      </c>
    </row>
    <row r="2058" spans="1:4" x14ac:dyDescent="0.25">
      <c r="A2058" s="1">
        <v>44197</v>
      </c>
      <c r="B2058">
        <f>YEAR('base-pms_spbrasil'!E2058)</f>
        <v>2021</v>
      </c>
      <c r="C2058">
        <f>MONTH('base-pms_spbrasil'!E2058)</f>
        <v>1</v>
      </c>
      <c r="D2058" s="3" t="str">
        <f>UPPER(TEXT('base-pms_spbrasil'!E2058,"MMMM"))</f>
        <v>JANEIRO</v>
      </c>
    </row>
    <row r="2059" spans="1:4" x14ac:dyDescent="0.25">
      <c r="A2059" s="1">
        <v>44228</v>
      </c>
      <c r="B2059">
        <f>YEAR('base-pms_spbrasil'!E2059)</f>
        <v>2021</v>
      </c>
      <c r="C2059">
        <f>MONTH('base-pms_spbrasil'!E2059)</f>
        <v>2</v>
      </c>
      <c r="D2059" s="3" t="str">
        <f>UPPER(TEXT('base-pms_spbrasil'!E2059,"MMMM"))</f>
        <v>FEVEREIRO</v>
      </c>
    </row>
    <row r="2060" spans="1:4" x14ac:dyDescent="0.25">
      <c r="A2060" s="1">
        <v>44256</v>
      </c>
      <c r="B2060">
        <f>YEAR('base-pms_spbrasil'!E2060)</f>
        <v>2021</v>
      </c>
      <c r="C2060">
        <f>MONTH('base-pms_spbrasil'!E2060)</f>
        <v>3</v>
      </c>
      <c r="D2060" s="3" t="str">
        <f>UPPER(TEXT('base-pms_spbrasil'!E2060,"MMMM"))</f>
        <v>MARÇO</v>
      </c>
    </row>
    <row r="2061" spans="1:4" x14ac:dyDescent="0.25">
      <c r="A2061" s="1">
        <v>44287</v>
      </c>
      <c r="B2061">
        <f>YEAR('base-pms_spbrasil'!E2061)</f>
        <v>2021</v>
      </c>
      <c r="C2061">
        <f>MONTH('base-pms_spbrasil'!E2061)</f>
        <v>4</v>
      </c>
      <c r="D2061" s="3" t="str">
        <f>UPPER(TEXT('base-pms_spbrasil'!E2061,"MMMM"))</f>
        <v>ABRIL</v>
      </c>
    </row>
    <row r="2062" spans="1:4" x14ac:dyDescent="0.25">
      <c r="A2062" s="1">
        <v>44317</v>
      </c>
      <c r="B2062">
        <f>YEAR('base-pms_spbrasil'!E2062)</f>
        <v>2021</v>
      </c>
      <c r="C2062">
        <f>MONTH('base-pms_spbrasil'!E2062)</f>
        <v>5</v>
      </c>
      <c r="D2062" s="3" t="str">
        <f>UPPER(TEXT('base-pms_spbrasil'!E2062,"MMMM"))</f>
        <v>MAIO</v>
      </c>
    </row>
    <row r="2063" spans="1:4" x14ac:dyDescent="0.25">
      <c r="A2063" s="1">
        <v>44348</v>
      </c>
      <c r="B2063">
        <f>YEAR('base-pms_spbrasil'!E2063)</f>
        <v>2021</v>
      </c>
      <c r="C2063">
        <f>MONTH('base-pms_spbrasil'!E2063)</f>
        <v>6</v>
      </c>
      <c r="D2063" s="3" t="str">
        <f>UPPER(TEXT('base-pms_spbrasil'!E2063,"MMMM"))</f>
        <v>JUNHO</v>
      </c>
    </row>
    <row r="2064" spans="1:4" x14ac:dyDescent="0.25">
      <c r="A2064" s="1">
        <v>44378</v>
      </c>
      <c r="B2064">
        <f>YEAR('base-pms_spbrasil'!E2064)</f>
        <v>2021</v>
      </c>
      <c r="C2064">
        <f>MONTH('base-pms_spbrasil'!E2064)</f>
        <v>7</v>
      </c>
      <c r="D2064" s="3" t="str">
        <f>UPPER(TEXT('base-pms_spbrasil'!E2064,"MMMM"))</f>
        <v>JULHO</v>
      </c>
    </row>
    <row r="2065" spans="1:4" x14ac:dyDescent="0.25">
      <c r="A2065" s="1">
        <v>44409</v>
      </c>
      <c r="B2065">
        <f>YEAR('base-pms_spbrasil'!E2065)</f>
        <v>2021</v>
      </c>
      <c r="C2065">
        <f>MONTH('base-pms_spbrasil'!E2065)</f>
        <v>8</v>
      </c>
      <c r="D2065" s="3" t="str">
        <f>UPPER(TEXT('base-pms_spbrasil'!E2065,"MMMM"))</f>
        <v>AGOSTO</v>
      </c>
    </row>
    <row r="2066" spans="1:4" x14ac:dyDescent="0.25">
      <c r="A2066" s="1">
        <v>44440</v>
      </c>
      <c r="B2066">
        <f>YEAR('base-pms_spbrasil'!E2066)</f>
        <v>2021</v>
      </c>
      <c r="C2066">
        <f>MONTH('base-pms_spbrasil'!E2066)</f>
        <v>9</v>
      </c>
      <c r="D2066" s="3" t="str">
        <f>UPPER(TEXT('base-pms_spbrasil'!E2066,"MMMM"))</f>
        <v>SETEMBRO</v>
      </c>
    </row>
    <row r="2067" spans="1:4" x14ac:dyDescent="0.25">
      <c r="A2067" s="1">
        <v>44470</v>
      </c>
      <c r="B2067">
        <f>YEAR('base-pms_spbrasil'!E2067)</f>
        <v>2021</v>
      </c>
      <c r="C2067">
        <f>MONTH('base-pms_spbrasil'!E2067)</f>
        <v>10</v>
      </c>
      <c r="D2067" s="3" t="str">
        <f>UPPER(TEXT('base-pms_spbrasil'!E2067,"MMMM"))</f>
        <v>OUTUBRO</v>
      </c>
    </row>
    <row r="2068" spans="1:4" x14ac:dyDescent="0.25">
      <c r="A2068" s="1">
        <v>44501</v>
      </c>
      <c r="B2068">
        <f>YEAR('base-pms_spbrasil'!E2068)</f>
        <v>2021</v>
      </c>
      <c r="C2068">
        <f>MONTH('base-pms_spbrasil'!E2068)</f>
        <v>11</v>
      </c>
      <c r="D2068" s="3" t="str">
        <f>UPPER(TEXT('base-pms_spbrasil'!E2068,"MMMM"))</f>
        <v>NOVEMBRO</v>
      </c>
    </row>
    <row r="2069" spans="1:4" x14ac:dyDescent="0.25">
      <c r="A2069" s="1">
        <v>44531</v>
      </c>
      <c r="B2069">
        <f>YEAR('base-pms_spbrasil'!E2069)</f>
        <v>2021</v>
      </c>
      <c r="C2069">
        <f>MONTH('base-pms_spbrasil'!E2069)</f>
        <v>12</v>
      </c>
      <c r="D2069" s="3" t="str">
        <f>UPPER(TEXT('base-pms_spbrasil'!E2069,"MMMM"))</f>
        <v>DEZEMBRO</v>
      </c>
    </row>
    <row r="2070" spans="1:4" x14ac:dyDescent="0.25">
      <c r="A2070" s="1">
        <v>44562</v>
      </c>
      <c r="B2070">
        <f>YEAR('base-pms_spbrasil'!E2070)</f>
        <v>2022</v>
      </c>
      <c r="C2070">
        <f>MONTH('base-pms_spbrasil'!E2070)</f>
        <v>1</v>
      </c>
      <c r="D2070" s="3" t="str">
        <f>UPPER(TEXT('base-pms_spbrasil'!E2070,"MMMM"))</f>
        <v>JANEIRO</v>
      </c>
    </row>
    <row r="2071" spans="1:4" x14ac:dyDescent="0.25">
      <c r="A2071" s="1">
        <v>44593</v>
      </c>
      <c r="B2071">
        <f>YEAR('base-pms_spbrasil'!E2071)</f>
        <v>2022</v>
      </c>
      <c r="C2071">
        <f>MONTH('base-pms_spbrasil'!E2071)</f>
        <v>2</v>
      </c>
      <c r="D2071" s="3" t="str">
        <f>UPPER(TEXT('base-pms_spbrasil'!E2071,"MMMM"))</f>
        <v>FEVEREIRO</v>
      </c>
    </row>
    <row r="2072" spans="1:4" x14ac:dyDescent="0.25">
      <c r="A2072" s="1">
        <v>44621</v>
      </c>
      <c r="B2072">
        <f>YEAR('base-pms_spbrasil'!E2072)</f>
        <v>2022</v>
      </c>
      <c r="C2072">
        <f>MONTH('base-pms_spbrasil'!E2072)</f>
        <v>3</v>
      </c>
      <c r="D2072" s="3" t="str">
        <f>UPPER(TEXT('base-pms_spbrasil'!E2072,"MMMM"))</f>
        <v>MARÇO</v>
      </c>
    </row>
    <row r="2073" spans="1:4" x14ac:dyDescent="0.25">
      <c r="A2073" s="1">
        <v>44652</v>
      </c>
      <c r="B2073">
        <f>YEAR('base-pms_spbrasil'!E2073)</f>
        <v>2022</v>
      </c>
      <c r="C2073">
        <f>MONTH('base-pms_spbrasil'!E2073)</f>
        <v>4</v>
      </c>
      <c r="D2073" s="3" t="str">
        <f>UPPER(TEXT('base-pms_spbrasil'!E2073,"MMMM"))</f>
        <v>ABRIL</v>
      </c>
    </row>
    <row r="2074" spans="1:4" x14ac:dyDescent="0.25">
      <c r="A2074" s="1">
        <v>44682</v>
      </c>
      <c r="B2074">
        <f>YEAR('base-pms_spbrasil'!E2074)</f>
        <v>2022</v>
      </c>
      <c r="C2074">
        <f>MONTH('base-pms_spbrasil'!E2074)</f>
        <v>5</v>
      </c>
      <c r="D2074" s="3" t="str">
        <f>UPPER(TEXT('base-pms_spbrasil'!E2074,"MMMM"))</f>
        <v>MAIO</v>
      </c>
    </row>
    <row r="2075" spans="1:4" x14ac:dyDescent="0.25">
      <c r="A2075" s="1">
        <v>44713</v>
      </c>
      <c r="B2075">
        <f>YEAR('base-pms_spbrasil'!E2075)</f>
        <v>2022</v>
      </c>
      <c r="C2075">
        <f>MONTH('base-pms_spbrasil'!E2075)</f>
        <v>6</v>
      </c>
      <c r="D2075" s="3" t="str">
        <f>UPPER(TEXT('base-pms_spbrasil'!E2075,"MMMM"))</f>
        <v>JUNHO</v>
      </c>
    </row>
    <row r="2076" spans="1:4" x14ac:dyDescent="0.25">
      <c r="A2076" s="1">
        <v>44743</v>
      </c>
      <c r="B2076">
        <f>YEAR('base-pms_spbrasil'!E2076)</f>
        <v>2022</v>
      </c>
      <c r="C2076">
        <f>MONTH('base-pms_spbrasil'!E2076)</f>
        <v>7</v>
      </c>
      <c r="D2076" s="3" t="str">
        <f>UPPER(TEXT('base-pms_spbrasil'!E2076,"MMMM"))</f>
        <v>JULHO</v>
      </c>
    </row>
    <row r="2077" spans="1:4" x14ac:dyDescent="0.25">
      <c r="A2077" s="1">
        <v>44774</v>
      </c>
      <c r="B2077">
        <f>YEAR('base-pms_spbrasil'!E2077)</f>
        <v>2022</v>
      </c>
      <c r="C2077">
        <f>MONTH('base-pms_spbrasil'!E2077)</f>
        <v>8</v>
      </c>
      <c r="D2077" s="3" t="str">
        <f>UPPER(TEXT('base-pms_spbrasil'!E2077,"MMMM"))</f>
        <v>AGOSTO</v>
      </c>
    </row>
    <row r="2078" spans="1:4" x14ac:dyDescent="0.25">
      <c r="A2078" s="1">
        <v>44805</v>
      </c>
      <c r="B2078">
        <f>YEAR('base-pms_spbrasil'!E2078)</f>
        <v>2022</v>
      </c>
      <c r="C2078">
        <f>MONTH('base-pms_spbrasil'!E2078)</f>
        <v>9</v>
      </c>
      <c r="D2078" s="3" t="str">
        <f>UPPER(TEXT('base-pms_spbrasil'!E2078,"MMMM"))</f>
        <v>SETEMBRO</v>
      </c>
    </row>
    <row r="2079" spans="1:4" x14ac:dyDescent="0.25">
      <c r="A2079" s="1">
        <v>44835</v>
      </c>
      <c r="B2079">
        <f>YEAR('base-pms_spbrasil'!E2079)</f>
        <v>2022</v>
      </c>
      <c r="C2079">
        <f>MONTH('base-pms_spbrasil'!E2079)</f>
        <v>10</v>
      </c>
      <c r="D2079" s="3" t="str">
        <f>UPPER(TEXT('base-pms_spbrasil'!E2079,"MMMM"))</f>
        <v>OUTUBRO</v>
      </c>
    </row>
    <row r="2080" spans="1:4" x14ac:dyDescent="0.25">
      <c r="A2080" s="1">
        <v>44866</v>
      </c>
      <c r="B2080">
        <f>YEAR('base-pms_spbrasil'!E2080)</f>
        <v>2022</v>
      </c>
      <c r="C2080">
        <f>MONTH('base-pms_spbrasil'!E2080)</f>
        <v>11</v>
      </c>
      <c r="D2080" s="3" t="str">
        <f>UPPER(TEXT('base-pms_spbrasil'!E2080,"MMMM"))</f>
        <v>NOVEMBRO</v>
      </c>
    </row>
    <row r="2081" spans="1:4" x14ac:dyDescent="0.25">
      <c r="A2081" s="1">
        <v>44896</v>
      </c>
      <c r="B2081">
        <f>YEAR('base-pms_spbrasil'!E2081)</f>
        <v>2022</v>
      </c>
      <c r="C2081">
        <f>MONTH('base-pms_spbrasil'!E2081)</f>
        <v>12</v>
      </c>
      <c r="D2081" s="3" t="str">
        <f>UPPER(TEXT('base-pms_spbrasil'!E2081,"MMMM"))</f>
        <v>DEZEMBRO</v>
      </c>
    </row>
    <row r="2082" spans="1:4" x14ac:dyDescent="0.25">
      <c r="A2082" s="1">
        <v>44927</v>
      </c>
      <c r="B2082">
        <f>YEAR('base-pms_spbrasil'!E2082)</f>
        <v>2023</v>
      </c>
      <c r="C2082">
        <f>MONTH('base-pms_spbrasil'!E2082)</f>
        <v>1</v>
      </c>
      <c r="D2082" s="3" t="str">
        <f>UPPER(TEXT('base-pms_spbrasil'!E2082,"MMMM"))</f>
        <v>JANEIRO</v>
      </c>
    </row>
    <row r="2083" spans="1:4" x14ac:dyDescent="0.25">
      <c r="A2083" s="1">
        <v>44958</v>
      </c>
      <c r="B2083">
        <f>YEAR('base-pms_spbrasil'!E2083)</f>
        <v>2023</v>
      </c>
      <c r="C2083">
        <f>MONTH('base-pms_spbrasil'!E2083)</f>
        <v>2</v>
      </c>
      <c r="D2083" s="3" t="str">
        <f>UPPER(TEXT('base-pms_spbrasil'!E2083,"MMMM"))</f>
        <v>FEVEREIRO</v>
      </c>
    </row>
    <row r="2084" spans="1:4" x14ac:dyDescent="0.25">
      <c r="A2084" s="1">
        <v>44986</v>
      </c>
      <c r="B2084">
        <f>YEAR('base-pms_spbrasil'!E2084)</f>
        <v>2023</v>
      </c>
      <c r="C2084">
        <f>MONTH('base-pms_spbrasil'!E2084)</f>
        <v>3</v>
      </c>
      <c r="D2084" s="3" t="str">
        <f>UPPER(TEXT('base-pms_spbrasil'!E2084,"MMMM"))</f>
        <v>MARÇO</v>
      </c>
    </row>
    <row r="2085" spans="1:4" x14ac:dyDescent="0.25">
      <c r="A2085" s="1">
        <v>45017</v>
      </c>
      <c r="B2085">
        <f>YEAR('base-pms_spbrasil'!E2085)</f>
        <v>2023</v>
      </c>
      <c r="C2085">
        <f>MONTH('base-pms_spbrasil'!E2085)</f>
        <v>4</v>
      </c>
      <c r="D2085" s="3" t="str">
        <f>UPPER(TEXT('base-pms_spbrasil'!E2085,"MMMM"))</f>
        <v>ABRIL</v>
      </c>
    </row>
    <row r="2086" spans="1:4" x14ac:dyDescent="0.25">
      <c r="A2086" s="1">
        <v>45047</v>
      </c>
      <c r="B2086">
        <f>YEAR('base-pms_spbrasil'!E2086)</f>
        <v>2023</v>
      </c>
      <c r="C2086">
        <f>MONTH('base-pms_spbrasil'!E2086)</f>
        <v>5</v>
      </c>
      <c r="D2086" s="3" t="str">
        <f>UPPER(TEXT('base-pms_spbrasil'!E2086,"MMMM"))</f>
        <v>MAIO</v>
      </c>
    </row>
    <row r="2087" spans="1:4" x14ac:dyDescent="0.25">
      <c r="A2087" s="1">
        <v>45078</v>
      </c>
      <c r="B2087">
        <f>YEAR('base-pms_spbrasil'!E2087)</f>
        <v>2023</v>
      </c>
      <c r="C2087">
        <f>MONTH('base-pms_spbrasil'!E2087)</f>
        <v>6</v>
      </c>
      <c r="D2087" s="3" t="str">
        <f>UPPER(TEXT('base-pms_spbrasil'!E2087,"MMMM"))</f>
        <v>JUNHO</v>
      </c>
    </row>
    <row r="2088" spans="1:4" x14ac:dyDescent="0.25">
      <c r="A2088" s="1">
        <v>45108</v>
      </c>
      <c r="B2088">
        <f>YEAR('base-pms_spbrasil'!E2088)</f>
        <v>2023</v>
      </c>
      <c r="C2088">
        <f>MONTH('base-pms_spbrasil'!E2088)</f>
        <v>7</v>
      </c>
      <c r="D2088" s="3" t="str">
        <f>UPPER(TEXT('base-pms_spbrasil'!E2088,"MMMM"))</f>
        <v>JULHO</v>
      </c>
    </row>
    <row r="2089" spans="1:4" x14ac:dyDescent="0.25">
      <c r="A2089" s="1">
        <v>45139</v>
      </c>
      <c r="B2089">
        <f>YEAR('base-pms_spbrasil'!E2089)</f>
        <v>2023</v>
      </c>
      <c r="C2089">
        <f>MONTH('base-pms_spbrasil'!E2089)</f>
        <v>8</v>
      </c>
      <c r="D2089" s="3" t="str">
        <f>UPPER(TEXT('base-pms_spbrasil'!E2089,"MMMM"))</f>
        <v>AGOSTO</v>
      </c>
    </row>
    <row r="2090" spans="1:4" x14ac:dyDescent="0.25">
      <c r="A2090" s="1">
        <v>45170</v>
      </c>
      <c r="B2090">
        <f>YEAR('base-pms_spbrasil'!E2090)</f>
        <v>2023</v>
      </c>
      <c r="C2090">
        <f>MONTH('base-pms_spbrasil'!E2090)</f>
        <v>9</v>
      </c>
      <c r="D2090" s="3" t="str">
        <f>UPPER(TEXT('base-pms_spbrasil'!E2090,"MMMM"))</f>
        <v>SETEMBRO</v>
      </c>
    </row>
    <row r="2091" spans="1:4" x14ac:dyDescent="0.25">
      <c r="A2091" s="1">
        <v>45200</v>
      </c>
      <c r="B2091">
        <f>YEAR('base-pms_spbrasil'!E2091)</f>
        <v>2023</v>
      </c>
      <c r="C2091">
        <f>MONTH('base-pms_spbrasil'!E2091)</f>
        <v>10</v>
      </c>
      <c r="D2091" s="3" t="str">
        <f>UPPER(TEXT('base-pms_spbrasil'!E2091,"MMMM"))</f>
        <v>OUTUBRO</v>
      </c>
    </row>
    <row r="2092" spans="1:4" x14ac:dyDescent="0.25">
      <c r="A2092" s="1">
        <v>45231</v>
      </c>
      <c r="B2092">
        <f>YEAR('base-pms_spbrasil'!E2092)</f>
        <v>2023</v>
      </c>
      <c r="C2092">
        <f>MONTH('base-pms_spbrasil'!E2092)</f>
        <v>11</v>
      </c>
      <c r="D2092" s="3" t="str">
        <f>UPPER(TEXT('base-pms_spbrasil'!E2092,"MMMM"))</f>
        <v>NOVEMBRO</v>
      </c>
    </row>
    <row r="2093" spans="1:4" x14ac:dyDescent="0.25">
      <c r="A2093" s="1">
        <v>45261</v>
      </c>
      <c r="B2093">
        <f>YEAR('base-pms_spbrasil'!E2093)</f>
        <v>2023</v>
      </c>
      <c r="C2093">
        <f>MONTH('base-pms_spbrasil'!E2093)</f>
        <v>12</v>
      </c>
      <c r="D2093" s="3" t="str">
        <f>UPPER(TEXT('base-pms_spbrasil'!E2093,"MMMM"))</f>
        <v>DEZEMBRO</v>
      </c>
    </row>
    <row r="2094" spans="1:4" x14ac:dyDescent="0.25">
      <c r="A2094" s="1">
        <v>45292</v>
      </c>
      <c r="B2094">
        <f>YEAR('base-pms_spbrasil'!E2094)</f>
        <v>2024</v>
      </c>
      <c r="C2094">
        <f>MONTH('base-pms_spbrasil'!E2094)</f>
        <v>1</v>
      </c>
      <c r="D2094" s="3" t="str">
        <f>UPPER(TEXT('base-pms_spbrasil'!E2094,"MMMM"))</f>
        <v>JANEIRO</v>
      </c>
    </row>
    <row r="2095" spans="1:4" x14ac:dyDescent="0.25">
      <c r="A2095" s="1">
        <v>45323</v>
      </c>
      <c r="B2095">
        <f>YEAR('base-pms_spbrasil'!E2095)</f>
        <v>2024</v>
      </c>
      <c r="C2095">
        <f>MONTH('base-pms_spbrasil'!E2095)</f>
        <v>2</v>
      </c>
      <c r="D2095" s="3" t="str">
        <f>UPPER(TEXT('base-pms_spbrasil'!E2095,"MMMM"))</f>
        <v>FEVEREIRO</v>
      </c>
    </row>
    <row r="2096" spans="1:4" x14ac:dyDescent="0.25">
      <c r="A2096" s="1">
        <v>45352</v>
      </c>
      <c r="B2096">
        <f>YEAR('base-pms_spbrasil'!E2096)</f>
        <v>2024</v>
      </c>
      <c r="C2096">
        <f>MONTH('base-pms_spbrasil'!E2096)</f>
        <v>3</v>
      </c>
      <c r="D2096" s="3" t="str">
        <f>UPPER(TEXT('base-pms_spbrasil'!E2096,"MMMM"))</f>
        <v>MARÇO</v>
      </c>
    </row>
    <row r="2097" spans="1:4" x14ac:dyDescent="0.25">
      <c r="A2097" s="1">
        <v>45383</v>
      </c>
      <c r="B2097">
        <f>YEAR('base-pms_spbrasil'!E2097)</f>
        <v>2024</v>
      </c>
      <c r="C2097">
        <f>MONTH('base-pms_spbrasil'!E2097)</f>
        <v>4</v>
      </c>
      <c r="D2097" s="3" t="str">
        <f>UPPER(TEXT('base-pms_spbrasil'!E2097,"MMMM"))</f>
        <v>ABRIL</v>
      </c>
    </row>
    <row r="2098" spans="1:4" x14ac:dyDescent="0.25">
      <c r="A2098" s="1">
        <v>45413</v>
      </c>
      <c r="B2098">
        <f>YEAR('base-pms_spbrasil'!E2098)</f>
        <v>2024</v>
      </c>
      <c r="C2098">
        <f>MONTH('base-pms_spbrasil'!E2098)</f>
        <v>5</v>
      </c>
      <c r="D2098" s="3" t="str">
        <f>UPPER(TEXT('base-pms_spbrasil'!E2098,"MMMM"))</f>
        <v>MAIO</v>
      </c>
    </row>
    <row r="2099" spans="1:4" x14ac:dyDescent="0.25">
      <c r="A2099" s="1">
        <v>45444</v>
      </c>
      <c r="B2099">
        <f>YEAR('base-pms_spbrasil'!E2099)</f>
        <v>2024</v>
      </c>
      <c r="C2099">
        <f>MONTH('base-pms_spbrasil'!E2099)</f>
        <v>6</v>
      </c>
      <c r="D2099" s="3" t="str">
        <f>UPPER(TEXT('base-pms_spbrasil'!E2099,"MMMM"))</f>
        <v>JUNHO</v>
      </c>
    </row>
    <row r="2100" spans="1:4" x14ac:dyDescent="0.25">
      <c r="A2100" s="1">
        <v>45474</v>
      </c>
      <c r="B2100">
        <f>YEAR('base-pms_spbrasil'!E2100)</f>
        <v>2024</v>
      </c>
      <c r="C2100">
        <f>MONTH('base-pms_spbrasil'!E2100)</f>
        <v>7</v>
      </c>
      <c r="D2100" s="3" t="str">
        <f>UPPER(TEXT('base-pms_spbrasil'!E2100,"MMMM"))</f>
        <v>JULHO</v>
      </c>
    </row>
    <row r="2101" spans="1:4" x14ac:dyDescent="0.25">
      <c r="A2101" s="1">
        <v>45505</v>
      </c>
      <c r="B2101">
        <f>YEAR('base-pms_spbrasil'!E2101)</f>
        <v>2024</v>
      </c>
      <c r="C2101">
        <f>MONTH('base-pms_spbrasil'!E2101)</f>
        <v>8</v>
      </c>
      <c r="D2101" s="3" t="str">
        <f>UPPER(TEXT('base-pms_spbrasil'!E2101,"MMMM"))</f>
        <v>AGOSTO</v>
      </c>
    </row>
    <row r="2102" spans="1:4" x14ac:dyDescent="0.25">
      <c r="A2102" s="1">
        <v>45536</v>
      </c>
      <c r="B2102">
        <f>YEAR('base-pms_spbrasil'!E2102)</f>
        <v>2024</v>
      </c>
      <c r="C2102">
        <f>MONTH('base-pms_spbrasil'!E2102)</f>
        <v>9</v>
      </c>
      <c r="D2102" s="3" t="str">
        <f>UPPER(TEXT('base-pms_spbrasil'!E2102,"MMMM"))</f>
        <v>SETEMBRO</v>
      </c>
    </row>
    <row r="2103" spans="1:4" x14ac:dyDescent="0.25">
      <c r="A2103" s="1">
        <v>45566</v>
      </c>
      <c r="B2103">
        <f>YEAR('base-pms_spbrasil'!E2103)</f>
        <v>2024</v>
      </c>
      <c r="C2103">
        <f>MONTH('base-pms_spbrasil'!E2103)</f>
        <v>10</v>
      </c>
      <c r="D2103" s="3" t="str">
        <f>UPPER(TEXT('base-pms_spbrasil'!E2103,"MMMM"))</f>
        <v>OUTUBRO</v>
      </c>
    </row>
    <row r="2104" spans="1:4" x14ac:dyDescent="0.25">
      <c r="A2104" s="1">
        <v>45597</v>
      </c>
      <c r="B2104">
        <f>YEAR('base-pms_spbrasil'!E2104)</f>
        <v>2024</v>
      </c>
      <c r="C2104">
        <f>MONTH('base-pms_spbrasil'!E2104)</f>
        <v>11</v>
      </c>
      <c r="D2104" s="3" t="str">
        <f>UPPER(TEXT('base-pms_spbrasil'!E2104,"MMMM"))</f>
        <v>NOVEMBRO</v>
      </c>
    </row>
    <row r="2105" spans="1:4" x14ac:dyDescent="0.25">
      <c r="A2105" s="1">
        <v>45627</v>
      </c>
      <c r="B2105">
        <f>YEAR('base-pms_spbrasil'!E2105)</f>
        <v>2024</v>
      </c>
      <c r="C2105">
        <f>MONTH('base-pms_spbrasil'!E2105)</f>
        <v>12</v>
      </c>
      <c r="D2105" s="3" t="str">
        <f>UPPER(TEXT('base-pms_spbrasil'!E2105,"MMMM"))</f>
        <v>DEZEMBRO</v>
      </c>
    </row>
    <row r="2106" spans="1:4" x14ac:dyDescent="0.25">
      <c r="A2106" s="1">
        <v>45658</v>
      </c>
      <c r="B2106">
        <f>YEAR('base-pms_spbrasil'!E2106)</f>
        <v>2025</v>
      </c>
      <c r="C2106">
        <f>MONTH('base-pms_spbrasil'!E2106)</f>
        <v>1</v>
      </c>
      <c r="D2106" s="3" t="str">
        <f>UPPER(TEXT('base-pms_spbrasil'!E2106,"MMMM"))</f>
        <v>JANEIRO</v>
      </c>
    </row>
    <row r="2107" spans="1:4" x14ac:dyDescent="0.25">
      <c r="A2107" s="1">
        <v>45689</v>
      </c>
      <c r="B2107">
        <f>YEAR('base-pms_spbrasil'!E2107)</f>
        <v>2025</v>
      </c>
      <c r="C2107">
        <f>MONTH('base-pms_spbrasil'!E2107)</f>
        <v>2</v>
      </c>
      <c r="D2107" s="3" t="str">
        <f>UPPER(TEXT('base-pms_spbrasil'!E2107,"MMMM"))</f>
        <v>FEVEREIRO</v>
      </c>
    </row>
    <row r="2108" spans="1:4" x14ac:dyDescent="0.25">
      <c r="A2108" s="1">
        <v>45717</v>
      </c>
      <c r="B2108">
        <f>YEAR('base-pms_spbrasil'!E2108)</f>
        <v>2025</v>
      </c>
      <c r="C2108">
        <f>MONTH('base-pms_spbrasil'!E2108)</f>
        <v>3</v>
      </c>
      <c r="D2108" s="3" t="str">
        <f>UPPER(TEXT('base-pms_spbrasil'!E2108,"MMMM"))</f>
        <v>MARÇO</v>
      </c>
    </row>
    <row r="2109" spans="1:4" x14ac:dyDescent="0.25">
      <c r="A2109" s="1">
        <v>45748</v>
      </c>
      <c r="B2109">
        <f>YEAR('base-pms_spbrasil'!E2109)</f>
        <v>2025</v>
      </c>
      <c r="C2109">
        <f>MONTH('base-pms_spbrasil'!E2109)</f>
        <v>4</v>
      </c>
      <c r="D2109" s="3" t="str">
        <f>UPPER(TEXT('base-pms_spbrasil'!E2109,"MMMM"))</f>
        <v>ABRIL</v>
      </c>
    </row>
    <row r="2110" spans="1:4" x14ac:dyDescent="0.25">
      <c r="A2110" s="1">
        <v>45778</v>
      </c>
      <c r="B2110">
        <f>YEAR('base-pms_spbrasil'!E2110)</f>
        <v>2025</v>
      </c>
      <c r="C2110">
        <f>MONTH('base-pms_spbrasil'!E2110)</f>
        <v>5</v>
      </c>
      <c r="D2110" s="3" t="str">
        <f>UPPER(TEXT('base-pms_spbrasil'!E2110,"MMMM"))</f>
        <v>MAIO</v>
      </c>
    </row>
    <row r="2111" spans="1:4" x14ac:dyDescent="0.25">
      <c r="A2111" s="1">
        <v>45809</v>
      </c>
      <c r="B2111">
        <f>YEAR('base-pms_spbrasil'!E2111)</f>
        <v>2025</v>
      </c>
      <c r="C2111">
        <f>MONTH('base-pms_spbrasil'!E2111)</f>
        <v>6</v>
      </c>
      <c r="D2111" s="3" t="str">
        <f>UPPER(TEXT('base-pms_spbrasil'!E2111,"MMMM"))</f>
        <v>JUNHO</v>
      </c>
    </row>
    <row r="2112" spans="1:4" x14ac:dyDescent="0.25">
      <c r="A2112" s="1">
        <v>45839</v>
      </c>
      <c r="B2112">
        <f>YEAR('base-pms_spbrasil'!E2112)</f>
        <v>2025</v>
      </c>
      <c r="C2112">
        <f>MONTH('base-pms_spbrasil'!E2112)</f>
        <v>7</v>
      </c>
      <c r="D2112" s="3" t="str">
        <f>UPPER(TEXT('base-pms_spbrasil'!E2112,"MMMM"))</f>
        <v>JULHO</v>
      </c>
    </row>
    <row r="2113" spans="1:4" x14ac:dyDescent="0.25">
      <c r="A2113" s="1">
        <v>45870</v>
      </c>
      <c r="B2113">
        <f>YEAR('base-pms_spbrasil'!E2113)</f>
        <v>2025</v>
      </c>
      <c r="C2113">
        <f>MONTH('base-pms_spbrasil'!E2113)</f>
        <v>8</v>
      </c>
      <c r="D2113" s="3" t="str">
        <f>UPPER(TEXT('base-pms_spbrasil'!E2113,"MMMM"))</f>
        <v>AGOSTO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13"/>
  <sheetViews>
    <sheetView workbookViewId="0"/>
  </sheetViews>
  <sheetFormatPr defaultRowHeight="15" x14ac:dyDescent="0.25"/>
  <cols>
    <col min="1" max="4" width="16.7109375" customWidth="1"/>
  </cols>
  <sheetData>
    <row r="1" spans="1:4" x14ac:dyDescent="0.25">
      <c r="B1" t="s">
        <v>1</v>
      </c>
      <c r="C1" t="s">
        <v>3</v>
      </c>
      <c r="D1" t="s">
        <v>4</v>
      </c>
    </row>
    <row r="2" spans="1:4" x14ac:dyDescent="0.25">
      <c r="A2" t="s">
        <v>5</v>
      </c>
      <c r="B2" t="s">
        <v>6</v>
      </c>
      <c r="C2">
        <v>84.309899999999999</v>
      </c>
      <c r="D2" s="1">
        <v>40544</v>
      </c>
    </row>
    <row r="3" spans="1:4" x14ac:dyDescent="0.25">
      <c r="A3" t="s">
        <v>5</v>
      </c>
      <c r="B3" t="s">
        <v>6</v>
      </c>
      <c r="C3">
        <v>83.759780000000006</v>
      </c>
      <c r="D3" s="1">
        <v>40575</v>
      </c>
    </row>
    <row r="4" spans="1:4" x14ac:dyDescent="0.25">
      <c r="A4" t="s">
        <v>5</v>
      </c>
      <c r="B4" t="s">
        <v>6</v>
      </c>
      <c r="C4">
        <v>88.040970000000002</v>
      </c>
      <c r="D4" s="1">
        <v>40603</v>
      </c>
    </row>
    <row r="5" spans="1:4" x14ac:dyDescent="0.25">
      <c r="A5" t="s">
        <v>5</v>
      </c>
      <c r="B5" t="s">
        <v>6</v>
      </c>
      <c r="C5">
        <v>87.259249999999994</v>
      </c>
      <c r="D5" s="1">
        <v>40634</v>
      </c>
    </row>
    <row r="6" spans="1:4" x14ac:dyDescent="0.25">
      <c r="A6" t="s">
        <v>5</v>
      </c>
      <c r="B6" t="s">
        <v>6</v>
      </c>
      <c r="C6">
        <v>90.326490000000007</v>
      </c>
      <c r="D6" s="1">
        <v>40664</v>
      </c>
    </row>
    <row r="7" spans="1:4" x14ac:dyDescent="0.25">
      <c r="A7" t="s">
        <v>5</v>
      </c>
      <c r="B7" t="s">
        <v>6</v>
      </c>
      <c r="C7">
        <v>89.579030000000003</v>
      </c>
      <c r="D7" s="1">
        <v>40695</v>
      </c>
    </row>
    <row r="8" spans="1:4" x14ac:dyDescent="0.25">
      <c r="A8" t="s">
        <v>5</v>
      </c>
      <c r="B8" t="s">
        <v>6</v>
      </c>
      <c r="C8">
        <v>91.216149999999999</v>
      </c>
      <c r="D8" s="1">
        <v>40725</v>
      </c>
    </row>
    <row r="9" spans="1:4" x14ac:dyDescent="0.25">
      <c r="A9" t="s">
        <v>5</v>
      </c>
      <c r="B9" t="s">
        <v>6</v>
      </c>
      <c r="C9">
        <v>93.359560000000002</v>
      </c>
      <c r="D9" s="1">
        <v>40756</v>
      </c>
    </row>
    <row r="10" spans="1:4" x14ac:dyDescent="0.25">
      <c r="A10" t="s">
        <v>5</v>
      </c>
      <c r="B10" t="s">
        <v>6</v>
      </c>
      <c r="C10">
        <v>91.791359999999997</v>
      </c>
      <c r="D10" s="1">
        <v>40787</v>
      </c>
    </row>
    <row r="11" spans="1:4" x14ac:dyDescent="0.25">
      <c r="A11" t="s">
        <v>5</v>
      </c>
      <c r="B11" t="s">
        <v>6</v>
      </c>
      <c r="C11">
        <v>91.483080000000001</v>
      </c>
      <c r="D11" s="1">
        <v>40817</v>
      </c>
    </row>
    <row r="12" spans="1:4" x14ac:dyDescent="0.25">
      <c r="A12" t="s">
        <v>5</v>
      </c>
      <c r="B12" t="s">
        <v>6</v>
      </c>
      <c r="C12">
        <v>93.147970000000001</v>
      </c>
      <c r="D12" s="1">
        <v>40848</v>
      </c>
    </row>
    <row r="13" spans="1:4" x14ac:dyDescent="0.25">
      <c r="A13" t="s">
        <v>5</v>
      </c>
      <c r="B13" t="s">
        <v>6</v>
      </c>
      <c r="C13">
        <v>100.49500999999999</v>
      </c>
      <c r="D13" s="1">
        <v>40878</v>
      </c>
    </row>
    <row r="14" spans="1:4" x14ac:dyDescent="0.25">
      <c r="A14" t="s">
        <v>5</v>
      </c>
      <c r="B14" t="s">
        <v>6</v>
      </c>
      <c r="C14">
        <v>88.140699999999995</v>
      </c>
      <c r="D14" s="1">
        <v>40909</v>
      </c>
    </row>
    <row r="15" spans="1:4" x14ac:dyDescent="0.25">
      <c r="A15" t="s">
        <v>5</v>
      </c>
      <c r="B15" t="s">
        <v>6</v>
      </c>
      <c r="C15">
        <v>86.656270000000006</v>
      </c>
      <c r="D15" s="1">
        <v>40940</v>
      </c>
    </row>
    <row r="16" spans="1:4" x14ac:dyDescent="0.25">
      <c r="A16" t="s">
        <v>5</v>
      </c>
      <c r="B16" t="s">
        <v>6</v>
      </c>
      <c r="C16">
        <v>94.173479999999998</v>
      </c>
      <c r="D16" s="1">
        <v>40969</v>
      </c>
    </row>
    <row r="17" spans="1:4" x14ac:dyDescent="0.25">
      <c r="A17" t="s">
        <v>5</v>
      </c>
      <c r="B17" t="s">
        <v>6</v>
      </c>
      <c r="C17">
        <v>89.837360000000004</v>
      </c>
      <c r="D17" s="1">
        <v>41000</v>
      </c>
    </row>
    <row r="18" spans="1:4" x14ac:dyDescent="0.25">
      <c r="A18" t="s">
        <v>5</v>
      </c>
      <c r="B18" t="s">
        <v>6</v>
      </c>
      <c r="C18">
        <v>94.545569999999998</v>
      </c>
      <c r="D18" s="1">
        <v>41030</v>
      </c>
    </row>
    <row r="19" spans="1:4" x14ac:dyDescent="0.25">
      <c r="A19" t="s">
        <v>5</v>
      </c>
      <c r="B19" t="s">
        <v>6</v>
      </c>
      <c r="C19">
        <v>92.942890000000006</v>
      </c>
      <c r="D19" s="1">
        <v>41061</v>
      </c>
    </row>
    <row r="20" spans="1:4" x14ac:dyDescent="0.25">
      <c r="A20" t="s">
        <v>5</v>
      </c>
      <c r="B20" t="s">
        <v>6</v>
      </c>
      <c r="C20">
        <v>94.299779999999998</v>
      </c>
      <c r="D20" s="1">
        <v>41091</v>
      </c>
    </row>
    <row r="21" spans="1:4" x14ac:dyDescent="0.25">
      <c r="A21" t="s">
        <v>5</v>
      </c>
      <c r="B21" t="s">
        <v>6</v>
      </c>
      <c r="C21">
        <v>97.190650000000005</v>
      </c>
      <c r="D21" s="1">
        <v>41122</v>
      </c>
    </row>
    <row r="22" spans="1:4" x14ac:dyDescent="0.25">
      <c r="A22" t="s">
        <v>5</v>
      </c>
      <c r="B22" t="s">
        <v>6</v>
      </c>
      <c r="C22">
        <v>94.263919999999999</v>
      </c>
      <c r="D22" s="1">
        <v>41153</v>
      </c>
    </row>
    <row r="23" spans="1:4" x14ac:dyDescent="0.25">
      <c r="A23" t="s">
        <v>5</v>
      </c>
      <c r="B23" t="s">
        <v>6</v>
      </c>
      <c r="C23">
        <v>98.120699999999999</v>
      </c>
      <c r="D23" s="1">
        <v>41183</v>
      </c>
    </row>
    <row r="24" spans="1:4" x14ac:dyDescent="0.25">
      <c r="A24" t="s">
        <v>5</v>
      </c>
      <c r="B24" t="s">
        <v>6</v>
      </c>
      <c r="C24">
        <v>96.983400000000003</v>
      </c>
      <c r="D24" s="1">
        <v>41214</v>
      </c>
    </row>
    <row r="25" spans="1:4" x14ac:dyDescent="0.25">
      <c r="A25" t="s">
        <v>5</v>
      </c>
      <c r="B25" t="s">
        <v>6</v>
      </c>
      <c r="C25">
        <v>103.89676</v>
      </c>
      <c r="D25" s="1">
        <v>41244</v>
      </c>
    </row>
    <row r="26" spans="1:4" x14ac:dyDescent="0.25">
      <c r="A26" t="s">
        <v>5</v>
      </c>
      <c r="B26" t="s">
        <v>6</v>
      </c>
      <c r="C26">
        <v>92.545659999999998</v>
      </c>
      <c r="D26" s="1">
        <v>41275</v>
      </c>
    </row>
    <row r="27" spans="1:4" x14ac:dyDescent="0.25">
      <c r="A27" t="s">
        <v>5</v>
      </c>
      <c r="B27" t="s">
        <v>6</v>
      </c>
      <c r="C27">
        <v>88.618650000000002</v>
      </c>
      <c r="D27" s="1">
        <v>41306</v>
      </c>
    </row>
    <row r="28" spans="1:4" x14ac:dyDescent="0.25">
      <c r="A28" t="s">
        <v>5</v>
      </c>
      <c r="B28" t="s">
        <v>6</v>
      </c>
      <c r="C28">
        <v>95.838880000000003</v>
      </c>
      <c r="D28" s="1">
        <v>41334</v>
      </c>
    </row>
    <row r="29" spans="1:4" x14ac:dyDescent="0.25">
      <c r="A29" t="s">
        <v>5</v>
      </c>
      <c r="B29" t="s">
        <v>6</v>
      </c>
      <c r="C29">
        <v>96.945329999999998</v>
      </c>
      <c r="D29" s="1">
        <v>41365</v>
      </c>
    </row>
    <row r="30" spans="1:4" x14ac:dyDescent="0.25">
      <c r="A30" t="s">
        <v>5</v>
      </c>
      <c r="B30" t="s">
        <v>6</v>
      </c>
      <c r="C30">
        <v>97.9148</v>
      </c>
      <c r="D30" s="1">
        <v>41395</v>
      </c>
    </row>
    <row r="31" spans="1:4" x14ac:dyDescent="0.25">
      <c r="A31" t="s">
        <v>5</v>
      </c>
      <c r="B31" t="s">
        <v>6</v>
      </c>
      <c r="C31">
        <v>96.800870000000003</v>
      </c>
      <c r="D31" s="1">
        <v>41426</v>
      </c>
    </row>
    <row r="32" spans="1:4" x14ac:dyDescent="0.25">
      <c r="A32" t="s">
        <v>5</v>
      </c>
      <c r="B32" t="s">
        <v>6</v>
      </c>
      <c r="C32">
        <v>99.277029999999996</v>
      </c>
      <c r="D32" s="1">
        <v>41456</v>
      </c>
    </row>
    <row r="33" spans="1:4" x14ac:dyDescent="0.25">
      <c r="A33" t="s">
        <v>5</v>
      </c>
      <c r="B33" t="s">
        <v>6</v>
      </c>
      <c r="C33">
        <v>99.333730000000003</v>
      </c>
      <c r="D33" s="1">
        <v>41487</v>
      </c>
    </row>
    <row r="34" spans="1:4" x14ac:dyDescent="0.25">
      <c r="A34" t="s">
        <v>5</v>
      </c>
      <c r="B34" t="s">
        <v>6</v>
      </c>
      <c r="C34">
        <v>98.932649999999995</v>
      </c>
      <c r="D34" s="1">
        <v>41518</v>
      </c>
    </row>
    <row r="35" spans="1:4" x14ac:dyDescent="0.25">
      <c r="A35" t="s">
        <v>5</v>
      </c>
      <c r="B35" t="s">
        <v>6</v>
      </c>
      <c r="C35">
        <v>102.21061</v>
      </c>
      <c r="D35" s="1">
        <v>41548</v>
      </c>
    </row>
    <row r="36" spans="1:4" x14ac:dyDescent="0.25">
      <c r="A36" t="s">
        <v>5</v>
      </c>
      <c r="B36" t="s">
        <v>6</v>
      </c>
      <c r="C36">
        <v>101.19192</v>
      </c>
      <c r="D36" s="1">
        <v>41579</v>
      </c>
    </row>
    <row r="37" spans="1:4" x14ac:dyDescent="0.25">
      <c r="A37" t="s">
        <v>5</v>
      </c>
      <c r="B37" t="s">
        <v>6</v>
      </c>
      <c r="C37">
        <v>107.58205</v>
      </c>
      <c r="D37" s="1">
        <v>41609</v>
      </c>
    </row>
    <row r="38" spans="1:4" x14ac:dyDescent="0.25">
      <c r="A38" t="s">
        <v>5</v>
      </c>
      <c r="B38" t="s">
        <v>6</v>
      </c>
      <c r="C38">
        <v>97.630660000000006</v>
      </c>
      <c r="D38" s="1">
        <v>41640</v>
      </c>
    </row>
    <row r="39" spans="1:4" x14ac:dyDescent="0.25">
      <c r="A39" t="s">
        <v>5</v>
      </c>
      <c r="B39" t="s">
        <v>6</v>
      </c>
      <c r="C39">
        <v>94.77919</v>
      </c>
      <c r="D39" s="1">
        <v>41671</v>
      </c>
    </row>
    <row r="40" spans="1:4" x14ac:dyDescent="0.25">
      <c r="A40" t="s">
        <v>5</v>
      </c>
      <c r="B40" t="s">
        <v>6</v>
      </c>
      <c r="C40">
        <v>98.554590000000005</v>
      </c>
      <c r="D40" s="1">
        <v>41699</v>
      </c>
    </row>
    <row r="41" spans="1:4" x14ac:dyDescent="0.25">
      <c r="A41" t="s">
        <v>5</v>
      </c>
      <c r="B41" t="s">
        <v>6</v>
      </c>
      <c r="C41">
        <v>98.575109999999995</v>
      </c>
      <c r="D41" s="1">
        <v>41730</v>
      </c>
    </row>
    <row r="42" spans="1:4" x14ac:dyDescent="0.25">
      <c r="A42" t="s">
        <v>5</v>
      </c>
      <c r="B42" t="s">
        <v>6</v>
      </c>
      <c r="C42">
        <v>100.64206</v>
      </c>
      <c r="D42" s="1">
        <v>41760</v>
      </c>
    </row>
    <row r="43" spans="1:4" x14ac:dyDescent="0.25">
      <c r="A43" t="s">
        <v>5</v>
      </c>
      <c r="B43" t="s">
        <v>6</v>
      </c>
      <c r="C43">
        <v>98.270290000000003</v>
      </c>
      <c r="D43" s="1">
        <v>41791</v>
      </c>
    </row>
    <row r="44" spans="1:4" x14ac:dyDescent="0.25">
      <c r="A44" t="s">
        <v>5</v>
      </c>
      <c r="B44" t="s">
        <v>6</v>
      </c>
      <c r="C44">
        <v>101.36623</v>
      </c>
      <c r="D44" s="1">
        <v>41821</v>
      </c>
    </row>
    <row r="45" spans="1:4" x14ac:dyDescent="0.25">
      <c r="A45" t="s">
        <v>5</v>
      </c>
      <c r="B45" t="s">
        <v>6</v>
      </c>
      <c r="C45">
        <v>100.76381000000001</v>
      </c>
      <c r="D45" s="1">
        <v>41852</v>
      </c>
    </row>
    <row r="46" spans="1:4" x14ac:dyDescent="0.25">
      <c r="A46" t="s">
        <v>5</v>
      </c>
      <c r="B46" t="s">
        <v>6</v>
      </c>
      <c r="C46">
        <v>101.9635</v>
      </c>
      <c r="D46" s="1">
        <v>41883</v>
      </c>
    </row>
    <row r="47" spans="1:4" x14ac:dyDescent="0.25">
      <c r="A47" t="s">
        <v>5</v>
      </c>
      <c r="B47" t="s">
        <v>6</v>
      </c>
      <c r="C47">
        <v>104.23927</v>
      </c>
      <c r="D47" s="1">
        <v>41913</v>
      </c>
    </row>
    <row r="48" spans="1:4" x14ac:dyDescent="0.25">
      <c r="A48" t="s">
        <v>5</v>
      </c>
      <c r="B48" t="s">
        <v>6</v>
      </c>
      <c r="C48">
        <v>102.23443</v>
      </c>
      <c r="D48" s="1">
        <v>41944</v>
      </c>
    </row>
    <row r="49" spans="1:4" x14ac:dyDescent="0.25">
      <c r="A49" t="s">
        <v>5</v>
      </c>
      <c r="B49" t="s">
        <v>6</v>
      </c>
      <c r="C49">
        <v>108.13736</v>
      </c>
      <c r="D49" s="1">
        <v>41974</v>
      </c>
    </row>
    <row r="50" spans="1:4" x14ac:dyDescent="0.25">
      <c r="A50" t="s">
        <v>5</v>
      </c>
      <c r="B50" t="s">
        <v>6</v>
      </c>
      <c r="C50">
        <v>94.603790000000004</v>
      </c>
      <c r="D50" s="1">
        <v>42005</v>
      </c>
    </row>
    <row r="51" spans="1:4" x14ac:dyDescent="0.25">
      <c r="A51" t="s">
        <v>5</v>
      </c>
      <c r="B51" t="s">
        <v>6</v>
      </c>
      <c r="C51">
        <v>91.125579999999999</v>
      </c>
      <c r="D51" s="1">
        <v>42036</v>
      </c>
    </row>
    <row r="52" spans="1:4" x14ac:dyDescent="0.25">
      <c r="A52" t="s">
        <v>5</v>
      </c>
      <c r="B52" t="s">
        <v>6</v>
      </c>
      <c r="C52">
        <v>100.82026999999999</v>
      </c>
      <c r="D52" s="1">
        <v>42064</v>
      </c>
    </row>
    <row r="53" spans="1:4" x14ac:dyDescent="0.25">
      <c r="A53" t="s">
        <v>5</v>
      </c>
      <c r="B53" t="s">
        <v>6</v>
      </c>
      <c r="C53">
        <v>95.752849999999995</v>
      </c>
      <c r="D53" s="1">
        <v>42095</v>
      </c>
    </row>
    <row r="54" spans="1:4" x14ac:dyDescent="0.25">
      <c r="A54" t="s">
        <v>5</v>
      </c>
      <c r="B54" t="s">
        <v>6</v>
      </c>
      <c r="C54">
        <v>97.48066</v>
      </c>
      <c r="D54" s="1">
        <v>42125</v>
      </c>
    </row>
    <row r="55" spans="1:4" x14ac:dyDescent="0.25">
      <c r="A55" t="s">
        <v>5</v>
      </c>
      <c r="B55" t="s">
        <v>6</v>
      </c>
      <c r="C55">
        <v>96.081559999999996</v>
      </c>
      <c r="D55" s="1">
        <v>42156</v>
      </c>
    </row>
    <row r="56" spans="1:4" x14ac:dyDescent="0.25">
      <c r="A56" t="s">
        <v>5</v>
      </c>
      <c r="B56" t="s">
        <v>6</v>
      </c>
      <c r="C56">
        <v>97.080740000000006</v>
      </c>
      <c r="D56" s="1">
        <v>42186</v>
      </c>
    </row>
    <row r="57" spans="1:4" x14ac:dyDescent="0.25">
      <c r="A57" t="s">
        <v>5</v>
      </c>
      <c r="B57" t="s">
        <v>6</v>
      </c>
      <c r="C57">
        <v>97.223429999999993</v>
      </c>
      <c r="D57" s="1">
        <v>42217</v>
      </c>
    </row>
    <row r="58" spans="1:4" x14ac:dyDescent="0.25">
      <c r="A58" t="s">
        <v>5</v>
      </c>
      <c r="B58" t="s">
        <v>6</v>
      </c>
      <c r="C58">
        <v>97.072699999999998</v>
      </c>
      <c r="D58" s="1">
        <v>42248</v>
      </c>
    </row>
    <row r="59" spans="1:4" x14ac:dyDescent="0.25">
      <c r="A59" t="s">
        <v>5</v>
      </c>
      <c r="B59" t="s">
        <v>6</v>
      </c>
      <c r="C59">
        <v>98.164529999999999</v>
      </c>
      <c r="D59" s="1">
        <v>42278</v>
      </c>
    </row>
    <row r="60" spans="1:4" x14ac:dyDescent="0.25">
      <c r="A60" t="s">
        <v>5</v>
      </c>
      <c r="B60" t="s">
        <v>6</v>
      </c>
      <c r="C60">
        <v>95.715459999999993</v>
      </c>
      <c r="D60" s="1">
        <v>42309</v>
      </c>
    </row>
    <row r="61" spans="1:4" x14ac:dyDescent="0.25">
      <c r="A61" t="s">
        <v>5</v>
      </c>
      <c r="B61" t="s">
        <v>6</v>
      </c>
      <c r="C61">
        <v>102.69431</v>
      </c>
      <c r="D61" s="1">
        <v>42339</v>
      </c>
    </row>
    <row r="62" spans="1:4" x14ac:dyDescent="0.25">
      <c r="A62" t="s">
        <v>5</v>
      </c>
      <c r="B62" t="s">
        <v>6</v>
      </c>
      <c r="C62">
        <v>89.875209999999996</v>
      </c>
      <c r="D62" s="1">
        <v>42370</v>
      </c>
    </row>
    <row r="63" spans="1:4" x14ac:dyDescent="0.25">
      <c r="A63" t="s">
        <v>5</v>
      </c>
      <c r="B63" t="s">
        <v>6</v>
      </c>
      <c r="C63">
        <v>87.590249999999997</v>
      </c>
      <c r="D63" s="1">
        <v>42401</v>
      </c>
    </row>
    <row r="64" spans="1:4" x14ac:dyDescent="0.25">
      <c r="A64" t="s">
        <v>5</v>
      </c>
      <c r="B64" t="s">
        <v>6</v>
      </c>
      <c r="C64">
        <v>94.868369999999999</v>
      </c>
      <c r="D64" s="1">
        <v>42430</v>
      </c>
    </row>
    <row r="65" spans="1:4" x14ac:dyDescent="0.25">
      <c r="A65" t="s">
        <v>5</v>
      </c>
      <c r="B65" t="s">
        <v>6</v>
      </c>
      <c r="C65">
        <v>91.180019999999999</v>
      </c>
      <c r="D65" s="1">
        <v>42461</v>
      </c>
    </row>
    <row r="66" spans="1:4" x14ac:dyDescent="0.25">
      <c r="A66" t="s">
        <v>5</v>
      </c>
      <c r="B66" t="s">
        <v>6</v>
      </c>
      <c r="C66">
        <v>91.578559999999996</v>
      </c>
      <c r="D66" s="1">
        <v>42491</v>
      </c>
    </row>
    <row r="67" spans="1:4" x14ac:dyDescent="0.25">
      <c r="A67" t="s">
        <v>5</v>
      </c>
      <c r="B67" t="s">
        <v>6</v>
      </c>
      <c r="C67">
        <v>92.819820000000007</v>
      </c>
      <c r="D67" s="1">
        <v>42522</v>
      </c>
    </row>
    <row r="68" spans="1:4" x14ac:dyDescent="0.25">
      <c r="A68" t="s">
        <v>5</v>
      </c>
      <c r="B68" t="s">
        <v>6</v>
      </c>
      <c r="C68">
        <v>92.749139999999997</v>
      </c>
      <c r="D68" s="1">
        <v>42552</v>
      </c>
    </row>
    <row r="69" spans="1:4" x14ac:dyDescent="0.25">
      <c r="A69" t="s">
        <v>5</v>
      </c>
      <c r="B69" t="s">
        <v>6</v>
      </c>
      <c r="C69">
        <v>93.398920000000004</v>
      </c>
      <c r="D69" s="1">
        <v>42583</v>
      </c>
    </row>
    <row r="70" spans="1:4" x14ac:dyDescent="0.25">
      <c r="A70" t="s">
        <v>5</v>
      </c>
      <c r="B70" t="s">
        <v>6</v>
      </c>
      <c r="C70">
        <v>92.340770000000006</v>
      </c>
      <c r="D70" s="1">
        <v>42614</v>
      </c>
    </row>
    <row r="71" spans="1:4" x14ac:dyDescent="0.25">
      <c r="A71" t="s">
        <v>5</v>
      </c>
      <c r="B71" t="s">
        <v>6</v>
      </c>
      <c r="C71">
        <v>90.688299999999998</v>
      </c>
      <c r="D71" s="1">
        <v>42644</v>
      </c>
    </row>
    <row r="72" spans="1:4" x14ac:dyDescent="0.25">
      <c r="A72" t="s">
        <v>5</v>
      </c>
      <c r="B72" t="s">
        <v>6</v>
      </c>
      <c r="C72">
        <v>91.290040000000005</v>
      </c>
      <c r="D72" s="1">
        <v>42675</v>
      </c>
    </row>
    <row r="73" spans="1:4" x14ac:dyDescent="0.25">
      <c r="A73" t="s">
        <v>5</v>
      </c>
      <c r="B73" t="s">
        <v>6</v>
      </c>
      <c r="C73">
        <v>96.825640000000007</v>
      </c>
      <c r="D73" s="1">
        <v>42705</v>
      </c>
    </row>
    <row r="74" spans="1:4" x14ac:dyDescent="0.25">
      <c r="A74" t="s">
        <v>5</v>
      </c>
      <c r="B74" t="s">
        <v>6</v>
      </c>
      <c r="C74">
        <v>86.702290000000005</v>
      </c>
      <c r="D74" s="1">
        <v>42736</v>
      </c>
    </row>
    <row r="75" spans="1:4" x14ac:dyDescent="0.25">
      <c r="A75" t="s">
        <v>5</v>
      </c>
      <c r="B75" t="s">
        <v>6</v>
      </c>
      <c r="C75">
        <v>82.920879999999997</v>
      </c>
      <c r="D75" s="1">
        <v>42767</v>
      </c>
    </row>
    <row r="76" spans="1:4" x14ac:dyDescent="0.25">
      <c r="A76" t="s">
        <v>5</v>
      </c>
      <c r="B76" t="s">
        <v>6</v>
      </c>
      <c r="C76">
        <v>89.890529999999998</v>
      </c>
      <c r="D76" s="1">
        <v>42795</v>
      </c>
    </row>
    <row r="77" spans="1:4" x14ac:dyDescent="0.25">
      <c r="A77" t="s">
        <v>5</v>
      </c>
      <c r="B77" t="s">
        <v>6</v>
      </c>
      <c r="C77">
        <v>85.941890000000001</v>
      </c>
      <c r="D77" s="1">
        <v>42826</v>
      </c>
    </row>
    <row r="78" spans="1:4" x14ac:dyDescent="0.25">
      <c r="A78" t="s">
        <v>5</v>
      </c>
      <c r="B78" t="s">
        <v>6</v>
      </c>
      <c r="C78">
        <v>89.814319999999995</v>
      </c>
      <c r="D78" s="1">
        <v>42856</v>
      </c>
    </row>
    <row r="79" spans="1:4" x14ac:dyDescent="0.25">
      <c r="A79" t="s">
        <v>5</v>
      </c>
      <c r="B79" t="s">
        <v>6</v>
      </c>
      <c r="C79">
        <v>90.055490000000006</v>
      </c>
      <c r="D79" s="1">
        <v>42887</v>
      </c>
    </row>
    <row r="80" spans="1:4" x14ac:dyDescent="0.25">
      <c r="A80" t="s">
        <v>5</v>
      </c>
      <c r="B80" t="s">
        <v>6</v>
      </c>
      <c r="C80">
        <v>89.754670000000004</v>
      </c>
      <c r="D80" s="1">
        <v>42917</v>
      </c>
    </row>
    <row r="81" spans="1:4" x14ac:dyDescent="0.25">
      <c r="A81" t="s">
        <v>5</v>
      </c>
      <c r="B81" t="s">
        <v>6</v>
      </c>
      <c r="C81">
        <v>91.012429999999995</v>
      </c>
      <c r="D81" s="1">
        <v>42948</v>
      </c>
    </row>
    <row r="82" spans="1:4" x14ac:dyDescent="0.25">
      <c r="A82" t="s">
        <v>5</v>
      </c>
      <c r="B82" t="s">
        <v>6</v>
      </c>
      <c r="C82">
        <v>89.394850000000005</v>
      </c>
      <c r="D82" s="1">
        <v>42979</v>
      </c>
    </row>
    <row r="83" spans="1:4" x14ac:dyDescent="0.25">
      <c r="A83" t="s">
        <v>5</v>
      </c>
      <c r="B83" t="s">
        <v>6</v>
      </c>
      <c r="C83">
        <v>90.35642</v>
      </c>
      <c r="D83" s="1">
        <v>43009</v>
      </c>
    </row>
    <row r="84" spans="1:4" x14ac:dyDescent="0.25">
      <c r="A84" t="s">
        <v>5</v>
      </c>
      <c r="B84" t="s">
        <v>6</v>
      </c>
      <c r="C84">
        <v>90.669960000000003</v>
      </c>
      <c r="D84" s="1">
        <v>43040</v>
      </c>
    </row>
    <row r="85" spans="1:4" x14ac:dyDescent="0.25">
      <c r="A85" t="s">
        <v>5</v>
      </c>
      <c r="B85" t="s">
        <v>6</v>
      </c>
      <c r="C85">
        <v>97.366919999999993</v>
      </c>
      <c r="D85" s="1">
        <v>43070</v>
      </c>
    </row>
    <row r="86" spans="1:4" x14ac:dyDescent="0.25">
      <c r="A86" t="s">
        <v>5</v>
      </c>
      <c r="B86" t="s">
        <v>6</v>
      </c>
      <c r="C86">
        <v>85.417519999999996</v>
      </c>
      <c r="D86" s="1">
        <v>43101</v>
      </c>
    </row>
    <row r="87" spans="1:4" x14ac:dyDescent="0.25">
      <c r="A87" t="s">
        <v>5</v>
      </c>
      <c r="B87" t="s">
        <v>6</v>
      </c>
      <c r="C87">
        <v>81.027159999999995</v>
      </c>
      <c r="D87" s="1">
        <v>43132</v>
      </c>
    </row>
    <row r="88" spans="1:4" x14ac:dyDescent="0.25">
      <c r="A88" t="s">
        <v>5</v>
      </c>
      <c r="B88" t="s">
        <v>6</v>
      </c>
      <c r="C88">
        <v>89.084460000000007</v>
      </c>
      <c r="D88" s="1">
        <v>43160</v>
      </c>
    </row>
    <row r="89" spans="1:4" x14ac:dyDescent="0.25">
      <c r="A89" t="s">
        <v>5</v>
      </c>
      <c r="B89" t="s">
        <v>6</v>
      </c>
      <c r="C89">
        <v>87.678820000000002</v>
      </c>
      <c r="D89" s="1">
        <v>43191</v>
      </c>
    </row>
    <row r="90" spans="1:4" x14ac:dyDescent="0.25">
      <c r="A90" t="s">
        <v>5</v>
      </c>
      <c r="B90" t="s">
        <v>6</v>
      </c>
      <c r="C90">
        <v>86.422470000000004</v>
      </c>
      <c r="D90" s="1">
        <v>43221</v>
      </c>
    </row>
    <row r="91" spans="1:4" x14ac:dyDescent="0.25">
      <c r="A91" t="s">
        <v>5</v>
      </c>
      <c r="B91" t="s">
        <v>6</v>
      </c>
      <c r="C91">
        <v>90.936250000000001</v>
      </c>
      <c r="D91" s="1">
        <v>43252</v>
      </c>
    </row>
    <row r="92" spans="1:4" x14ac:dyDescent="0.25">
      <c r="A92" t="s">
        <v>5</v>
      </c>
      <c r="B92" t="s">
        <v>6</v>
      </c>
      <c r="C92">
        <v>89.667100000000005</v>
      </c>
      <c r="D92" s="1">
        <v>43282</v>
      </c>
    </row>
    <row r="93" spans="1:4" x14ac:dyDescent="0.25">
      <c r="A93" t="s">
        <v>5</v>
      </c>
      <c r="B93" t="s">
        <v>6</v>
      </c>
      <c r="C93">
        <v>92.527109999999993</v>
      </c>
      <c r="D93" s="1">
        <v>43313</v>
      </c>
    </row>
    <row r="94" spans="1:4" x14ac:dyDescent="0.25">
      <c r="A94" t="s">
        <v>5</v>
      </c>
      <c r="B94" t="s">
        <v>6</v>
      </c>
      <c r="C94">
        <v>89.805970000000002</v>
      </c>
      <c r="D94" s="1">
        <v>43344</v>
      </c>
    </row>
    <row r="95" spans="1:4" x14ac:dyDescent="0.25">
      <c r="A95" t="s">
        <v>5</v>
      </c>
      <c r="B95" t="s">
        <v>6</v>
      </c>
      <c r="C95">
        <v>91.715879999999999</v>
      </c>
      <c r="D95" s="1">
        <v>43374</v>
      </c>
    </row>
    <row r="96" spans="1:4" x14ac:dyDescent="0.25">
      <c r="A96" t="s">
        <v>5</v>
      </c>
      <c r="B96" t="s">
        <v>6</v>
      </c>
      <c r="C96">
        <v>91.478870000000001</v>
      </c>
      <c r="D96" s="1">
        <v>43405</v>
      </c>
    </row>
    <row r="97" spans="1:4" x14ac:dyDescent="0.25">
      <c r="A97" t="s">
        <v>5</v>
      </c>
      <c r="B97" t="s">
        <v>6</v>
      </c>
      <c r="C97">
        <v>97.757779999999997</v>
      </c>
      <c r="D97" s="1">
        <v>43435</v>
      </c>
    </row>
    <row r="98" spans="1:4" x14ac:dyDescent="0.25">
      <c r="A98" t="s">
        <v>5</v>
      </c>
      <c r="B98" t="s">
        <v>6</v>
      </c>
      <c r="C98">
        <v>87.086119999999994</v>
      </c>
      <c r="D98" s="1">
        <v>43466</v>
      </c>
    </row>
    <row r="99" spans="1:4" x14ac:dyDescent="0.25">
      <c r="A99" t="s">
        <v>5</v>
      </c>
      <c r="B99" t="s">
        <v>6</v>
      </c>
      <c r="C99">
        <v>84.122159999999994</v>
      </c>
      <c r="D99" s="1">
        <v>43497</v>
      </c>
    </row>
    <row r="100" spans="1:4" x14ac:dyDescent="0.25">
      <c r="A100" t="s">
        <v>5</v>
      </c>
      <c r="B100" t="s">
        <v>6</v>
      </c>
      <c r="C100">
        <v>87.011139999999997</v>
      </c>
      <c r="D100" s="1">
        <v>43525</v>
      </c>
    </row>
    <row r="101" spans="1:4" x14ac:dyDescent="0.25">
      <c r="A101" t="s">
        <v>5</v>
      </c>
      <c r="B101" t="s">
        <v>6</v>
      </c>
      <c r="C101">
        <v>87.078890000000001</v>
      </c>
      <c r="D101" s="1">
        <v>43556</v>
      </c>
    </row>
    <row r="102" spans="1:4" x14ac:dyDescent="0.25">
      <c r="A102" t="s">
        <v>5</v>
      </c>
      <c r="B102" t="s">
        <v>6</v>
      </c>
      <c r="C102">
        <v>90.568449999999999</v>
      </c>
      <c r="D102" s="1">
        <v>43586</v>
      </c>
    </row>
    <row r="103" spans="1:4" x14ac:dyDescent="0.25">
      <c r="A103" t="s">
        <v>5</v>
      </c>
      <c r="B103" t="s">
        <v>6</v>
      </c>
      <c r="C103">
        <v>87.731009999999998</v>
      </c>
      <c r="D103" s="1">
        <v>43617</v>
      </c>
    </row>
    <row r="104" spans="1:4" x14ac:dyDescent="0.25">
      <c r="A104" t="s">
        <v>5</v>
      </c>
      <c r="B104" t="s">
        <v>6</v>
      </c>
      <c r="C104">
        <v>91.288380000000004</v>
      </c>
      <c r="D104" s="1">
        <v>43647</v>
      </c>
    </row>
    <row r="105" spans="1:4" x14ac:dyDescent="0.25">
      <c r="A105" t="s">
        <v>5</v>
      </c>
      <c r="B105" t="s">
        <v>6</v>
      </c>
      <c r="C105">
        <v>91.318060000000003</v>
      </c>
      <c r="D105" s="1">
        <v>43678</v>
      </c>
    </row>
    <row r="106" spans="1:4" x14ac:dyDescent="0.25">
      <c r="A106" t="s">
        <v>5</v>
      </c>
      <c r="B106" t="s">
        <v>6</v>
      </c>
      <c r="C106">
        <v>91.266270000000006</v>
      </c>
      <c r="D106" s="1">
        <v>43709</v>
      </c>
    </row>
    <row r="107" spans="1:4" x14ac:dyDescent="0.25">
      <c r="A107" t="s">
        <v>5</v>
      </c>
      <c r="B107" t="s">
        <v>6</v>
      </c>
      <c r="C107">
        <v>94.293120000000002</v>
      </c>
      <c r="D107" s="1">
        <v>43739</v>
      </c>
    </row>
    <row r="108" spans="1:4" x14ac:dyDescent="0.25">
      <c r="A108" t="s">
        <v>5</v>
      </c>
      <c r="B108" t="s">
        <v>6</v>
      </c>
      <c r="C108">
        <v>93.185130000000001</v>
      </c>
      <c r="D108" s="1">
        <v>43770</v>
      </c>
    </row>
    <row r="109" spans="1:4" x14ac:dyDescent="0.25">
      <c r="A109" t="s">
        <v>5</v>
      </c>
      <c r="B109" t="s">
        <v>6</v>
      </c>
      <c r="C109">
        <v>99.249650000000003</v>
      </c>
      <c r="D109" s="1">
        <v>43800</v>
      </c>
    </row>
    <row r="110" spans="1:4" x14ac:dyDescent="0.25">
      <c r="A110" t="s">
        <v>5</v>
      </c>
      <c r="B110" t="s">
        <v>6</v>
      </c>
      <c r="C110">
        <v>88.520160000000004</v>
      </c>
      <c r="D110" s="1">
        <v>43831</v>
      </c>
    </row>
    <row r="111" spans="1:4" x14ac:dyDescent="0.25">
      <c r="A111" t="s">
        <v>5</v>
      </c>
      <c r="B111" t="s">
        <v>6</v>
      </c>
      <c r="C111">
        <v>84.613489999999999</v>
      </c>
      <c r="D111" s="1">
        <v>43862</v>
      </c>
    </row>
    <row r="112" spans="1:4" x14ac:dyDescent="0.25">
      <c r="A112" t="s">
        <v>5</v>
      </c>
      <c r="B112" t="s">
        <v>6</v>
      </c>
      <c r="C112">
        <v>84.583709999999996</v>
      </c>
      <c r="D112" s="1">
        <v>43891</v>
      </c>
    </row>
    <row r="113" spans="1:4" x14ac:dyDescent="0.25">
      <c r="A113" t="s">
        <v>5</v>
      </c>
      <c r="B113" t="s">
        <v>6</v>
      </c>
      <c r="C113">
        <v>72.049499999999995</v>
      </c>
      <c r="D113" s="1">
        <v>43922</v>
      </c>
    </row>
    <row r="114" spans="1:4" x14ac:dyDescent="0.25">
      <c r="A114" t="s">
        <v>5</v>
      </c>
      <c r="B114" t="s">
        <v>6</v>
      </c>
      <c r="C114">
        <v>73.056449999999998</v>
      </c>
      <c r="D114" s="1">
        <v>43952</v>
      </c>
    </row>
    <row r="115" spans="1:4" x14ac:dyDescent="0.25">
      <c r="A115" t="s">
        <v>5</v>
      </c>
      <c r="B115" t="s">
        <v>6</v>
      </c>
      <c r="C115">
        <v>77.002459999999999</v>
      </c>
      <c r="D115" s="1">
        <v>43983</v>
      </c>
    </row>
    <row r="116" spans="1:4" x14ac:dyDescent="0.25">
      <c r="A116" t="s">
        <v>5</v>
      </c>
      <c r="B116" t="s">
        <v>6</v>
      </c>
      <c r="C116">
        <v>80.352289999999996</v>
      </c>
      <c r="D116" s="1">
        <v>44013</v>
      </c>
    </row>
    <row r="117" spans="1:4" x14ac:dyDescent="0.25">
      <c r="A117" t="s">
        <v>5</v>
      </c>
      <c r="B117" t="s">
        <v>6</v>
      </c>
      <c r="C117">
        <v>82.156189999999995</v>
      </c>
      <c r="D117" s="1">
        <v>44044</v>
      </c>
    </row>
    <row r="118" spans="1:4" x14ac:dyDescent="0.25">
      <c r="A118" t="s">
        <v>5</v>
      </c>
      <c r="B118" t="s">
        <v>6</v>
      </c>
      <c r="C118">
        <v>84.876850000000005</v>
      </c>
      <c r="D118" s="1">
        <v>44075</v>
      </c>
    </row>
    <row r="119" spans="1:4" x14ac:dyDescent="0.25">
      <c r="A119" t="s">
        <v>5</v>
      </c>
      <c r="B119" t="s">
        <v>6</v>
      </c>
      <c r="C119">
        <v>87.340090000000004</v>
      </c>
      <c r="D119" s="1">
        <v>44105</v>
      </c>
    </row>
    <row r="120" spans="1:4" x14ac:dyDescent="0.25">
      <c r="A120" t="s">
        <v>5</v>
      </c>
      <c r="B120" t="s">
        <v>6</v>
      </c>
      <c r="C120">
        <v>88.545400000000001</v>
      </c>
      <c r="D120" s="1">
        <v>44136</v>
      </c>
    </row>
    <row r="121" spans="1:4" x14ac:dyDescent="0.25">
      <c r="A121" t="s">
        <v>5</v>
      </c>
      <c r="B121" t="s">
        <v>6</v>
      </c>
      <c r="C121">
        <v>96.178340000000006</v>
      </c>
      <c r="D121" s="1">
        <v>44166</v>
      </c>
    </row>
    <row r="122" spans="1:4" x14ac:dyDescent="0.25">
      <c r="A122" t="s">
        <v>5</v>
      </c>
      <c r="B122" t="s">
        <v>6</v>
      </c>
      <c r="C122">
        <v>84.063479999999998</v>
      </c>
      <c r="D122" s="1">
        <v>44197</v>
      </c>
    </row>
    <row r="123" spans="1:4" x14ac:dyDescent="0.25">
      <c r="A123" t="s">
        <v>5</v>
      </c>
      <c r="B123" t="s">
        <v>6</v>
      </c>
      <c r="C123">
        <v>83.053070000000005</v>
      </c>
      <c r="D123" s="1">
        <v>44228</v>
      </c>
    </row>
    <row r="124" spans="1:4" x14ac:dyDescent="0.25">
      <c r="A124" t="s">
        <v>5</v>
      </c>
      <c r="B124" t="s">
        <v>6</v>
      </c>
      <c r="C124">
        <v>88.466380000000001</v>
      </c>
      <c r="D124" s="1">
        <v>44256</v>
      </c>
    </row>
    <row r="125" spans="1:4" x14ac:dyDescent="0.25">
      <c r="A125" t="s">
        <v>5</v>
      </c>
      <c r="B125" t="s">
        <v>6</v>
      </c>
      <c r="C125">
        <v>86.555509999999998</v>
      </c>
      <c r="D125" s="1">
        <v>44287</v>
      </c>
    </row>
    <row r="126" spans="1:4" x14ac:dyDescent="0.25">
      <c r="A126" t="s">
        <v>5</v>
      </c>
      <c r="B126" t="s">
        <v>6</v>
      </c>
      <c r="C126">
        <v>90.054400000000001</v>
      </c>
      <c r="D126" s="1">
        <v>44317</v>
      </c>
    </row>
    <row r="127" spans="1:4" x14ac:dyDescent="0.25">
      <c r="A127" t="s">
        <v>5</v>
      </c>
      <c r="B127" t="s">
        <v>6</v>
      </c>
      <c r="C127">
        <v>93.248440000000002</v>
      </c>
      <c r="D127" s="1">
        <v>44348</v>
      </c>
    </row>
    <row r="128" spans="1:4" x14ac:dyDescent="0.25">
      <c r="A128" t="s">
        <v>5</v>
      </c>
      <c r="B128" t="s">
        <v>6</v>
      </c>
      <c r="C128">
        <v>94.650829999999999</v>
      </c>
      <c r="D128" s="1">
        <v>44378</v>
      </c>
    </row>
    <row r="129" spans="1:4" x14ac:dyDescent="0.25">
      <c r="A129" t="s">
        <v>5</v>
      </c>
      <c r="B129" t="s">
        <v>6</v>
      </c>
      <c r="C129">
        <v>95.771749999999997</v>
      </c>
      <c r="D129" s="1">
        <v>44409</v>
      </c>
    </row>
    <row r="130" spans="1:4" x14ac:dyDescent="0.25">
      <c r="A130" t="s">
        <v>5</v>
      </c>
      <c r="B130" t="s">
        <v>6</v>
      </c>
      <c r="C130">
        <v>94.659689999999998</v>
      </c>
      <c r="D130" s="1">
        <v>44440</v>
      </c>
    </row>
    <row r="131" spans="1:4" x14ac:dyDescent="0.25">
      <c r="A131" t="s">
        <v>5</v>
      </c>
      <c r="B131" t="s">
        <v>6</v>
      </c>
      <c r="C131">
        <v>93.723020000000005</v>
      </c>
      <c r="D131" s="1">
        <v>44470</v>
      </c>
    </row>
    <row r="132" spans="1:4" x14ac:dyDescent="0.25">
      <c r="A132" t="s">
        <v>5</v>
      </c>
      <c r="B132" t="s">
        <v>6</v>
      </c>
      <c r="C132">
        <v>97.597729999999999</v>
      </c>
      <c r="D132" s="1">
        <v>44501</v>
      </c>
    </row>
    <row r="133" spans="1:4" x14ac:dyDescent="0.25">
      <c r="A133" t="s">
        <v>5</v>
      </c>
      <c r="B133" t="s">
        <v>6</v>
      </c>
      <c r="C133">
        <v>106.68322000000001</v>
      </c>
      <c r="D133" s="1">
        <v>44531</v>
      </c>
    </row>
    <row r="134" spans="1:4" x14ac:dyDescent="0.25">
      <c r="A134" t="s">
        <v>5</v>
      </c>
      <c r="B134" t="s">
        <v>6</v>
      </c>
      <c r="C134">
        <v>91.924570000000003</v>
      </c>
      <c r="D134" s="1">
        <v>44562</v>
      </c>
    </row>
    <row r="135" spans="1:4" x14ac:dyDescent="0.25">
      <c r="A135" t="s">
        <v>5</v>
      </c>
      <c r="B135" t="s">
        <v>6</v>
      </c>
      <c r="C135">
        <v>89.202780000000004</v>
      </c>
      <c r="D135" s="1">
        <v>44593</v>
      </c>
    </row>
    <row r="136" spans="1:4" x14ac:dyDescent="0.25">
      <c r="A136" t="s">
        <v>5</v>
      </c>
      <c r="B136" t="s">
        <v>6</v>
      </c>
      <c r="C136">
        <v>98.697900000000004</v>
      </c>
      <c r="D136" s="1">
        <v>44621</v>
      </c>
    </row>
    <row r="137" spans="1:4" x14ac:dyDescent="0.25">
      <c r="A137" t="s">
        <v>5</v>
      </c>
      <c r="B137" t="s">
        <v>6</v>
      </c>
      <c r="C137">
        <v>94.672790000000006</v>
      </c>
      <c r="D137" s="1">
        <v>44652</v>
      </c>
    </row>
    <row r="138" spans="1:4" x14ac:dyDescent="0.25">
      <c r="A138" t="s">
        <v>5</v>
      </c>
      <c r="B138" t="s">
        <v>6</v>
      </c>
      <c r="C138">
        <v>98.228949999999998</v>
      </c>
      <c r="D138" s="1">
        <v>44682</v>
      </c>
    </row>
    <row r="139" spans="1:4" x14ac:dyDescent="0.25">
      <c r="A139" t="s">
        <v>5</v>
      </c>
      <c r="B139" t="s">
        <v>6</v>
      </c>
      <c r="C139">
        <v>99.225160000000002</v>
      </c>
      <c r="D139" s="1">
        <v>44713</v>
      </c>
    </row>
    <row r="140" spans="1:4" x14ac:dyDescent="0.25">
      <c r="A140" t="s">
        <v>5</v>
      </c>
      <c r="B140" t="s">
        <v>6</v>
      </c>
      <c r="C140">
        <v>100.58128000000001</v>
      </c>
      <c r="D140" s="1">
        <v>44743</v>
      </c>
    </row>
    <row r="141" spans="1:4" x14ac:dyDescent="0.25">
      <c r="A141" t="s">
        <v>5</v>
      </c>
      <c r="B141" t="s">
        <v>6</v>
      </c>
      <c r="C141">
        <v>104.10478000000001</v>
      </c>
      <c r="D141" s="1">
        <v>44774</v>
      </c>
    </row>
    <row r="142" spans="1:4" x14ac:dyDescent="0.25">
      <c r="A142" t="s">
        <v>5</v>
      </c>
      <c r="B142" t="s">
        <v>6</v>
      </c>
      <c r="C142">
        <v>103.55595</v>
      </c>
      <c r="D142" s="1">
        <v>44805</v>
      </c>
    </row>
    <row r="143" spans="1:4" x14ac:dyDescent="0.25">
      <c r="A143" t="s">
        <v>5</v>
      </c>
      <c r="B143" t="s">
        <v>6</v>
      </c>
      <c r="C143">
        <v>102.81034</v>
      </c>
      <c r="D143" s="1">
        <v>44835</v>
      </c>
    </row>
    <row r="144" spans="1:4" x14ac:dyDescent="0.25">
      <c r="A144" t="s">
        <v>5</v>
      </c>
      <c r="B144" t="s">
        <v>6</v>
      </c>
      <c r="C144">
        <v>103.94298000000001</v>
      </c>
      <c r="D144" s="1">
        <v>44866</v>
      </c>
    </row>
    <row r="145" spans="1:4" x14ac:dyDescent="0.25">
      <c r="A145" t="s">
        <v>5</v>
      </c>
      <c r="B145" t="s">
        <v>6</v>
      </c>
      <c r="C145">
        <v>113.05252</v>
      </c>
      <c r="D145" s="1">
        <v>44896</v>
      </c>
    </row>
    <row r="146" spans="1:4" x14ac:dyDescent="0.25">
      <c r="A146" t="s">
        <v>5</v>
      </c>
      <c r="B146" t="s">
        <v>6</v>
      </c>
      <c r="C146">
        <v>96.638149999999996</v>
      </c>
      <c r="D146" s="1">
        <v>44927</v>
      </c>
    </row>
    <row r="147" spans="1:4" x14ac:dyDescent="0.25">
      <c r="A147" t="s">
        <v>5</v>
      </c>
      <c r="B147" t="s">
        <v>6</v>
      </c>
      <c r="C147">
        <v>93.402439999999999</v>
      </c>
      <c r="D147" s="1">
        <v>44958</v>
      </c>
    </row>
    <row r="148" spans="1:4" x14ac:dyDescent="0.25">
      <c r="A148" t="s">
        <v>5</v>
      </c>
      <c r="B148" t="s">
        <v>6</v>
      </c>
      <c r="C148">
        <v>105.08354</v>
      </c>
      <c r="D148" s="1">
        <v>44986</v>
      </c>
    </row>
    <row r="149" spans="1:4" x14ac:dyDescent="0.25">
      <c r="A149" t="s">
        <v>5</v>
      </c>
      <c r="B149" t="s">
        <v>6</v>
      </c>
      <c r="C149">
        <v>97.248140000000006</v>
      </c>
      <c r="D149" s="1">
        <v>45017</v>
      </c>
    </row>
    <row r="150" spans="1:4" x14ac:dyDescent="0.25">
      <c r="A150" t="s">
        <v>5</v>
      </c>
      <c r="B150" t="s">
        <v>6</v>
      </c>
      <c r="C150">
        <v>103.26822</v>
      </c>
      <c r="D150" s="1">
        <v>45047</v>
      </c>
    </row>
    <row r="151" spans="1:4" x14ac:dyDescent="0.25">
      <c r="A151" t="s">
        <v>5</v>
      </c>
      <c r="B151" t="s">
        <v>6</v>
      </c>
      <c r="C151">
        <v>103.44944</v>
      </c>
      <c r="D151" s="1">
        <v>45078</v>
      </c>
    </row>
    <row r="152" spans="1:4" x14ac:dyDescent="0.25">
      <c r="A152" t="s">
        <v>5</v>
      </c>
      <c r="B152" t="s">
        <v>6</v>
      </c>
      <c r="C152">
        <v>104.40512</v>
      </c>
      <c r="D152" s="1">
        <v>45108</v>
      </c>
    </row>
    <row r="153" spans="1:4" x14ac:dyDescent="0.25">
      <c r="A153" t="s">
        <v>5</v>
      </c>
      <c r="B153" t="s">
        <v>6</v>
      </c>
      <c r="C153">
        <v>105.996</v>
      </c>
      <c r="D153" s="1">
        <v>45139</v>
      </c>
    </row>
    <row r="154" spans="1:4" x14ac:dyDescent="0.25">
      <c r="A154" t="s">
        <v>5</v>
      </c>
      <c r="B154" t="s">
        <v>6</v>
      </c>
      <c r="C154">
        <v>103.64494000000001</v>
      </c>
      <c r="D154" s="1">
        <v>45170</v>
      </c>
    </row>
    <row r="155" spans="1:4" x14ac:dyDescent="0.25">
      <c r="A155" t="s">
        <v>5</v>
      </c>
      <c r="B155" t="s">
        <v>6</v>
      </c>
      <c r="C155">
        <v>103.82361</v>
      </c>
      <c r="D155" s="1">
        <v>45200</v>
      </c>
    </row>
    <row r="156" spans="1:4" x14ac:dyDescent="0.25">
      <c r="A156" t="s">
        <v>5</v>
      </c>
      <c r="B156" t="s">
        <v>6</v>
      </c>
      <c r="C156">
        <v>105.74193</v>
      </c>
      <c r="D156" s="1">
        <v>45231</v>
      </c>
    </row>
    <row r="157" spans="1:4" x14ac:dyDescent="0.25">
      <c r="A157" t="s">
        <v>5</v>
      </c>
      <c r="B157" t="s">
        <v>6</v>
      </c>
      <c r="C157">
        <v>112.19132</v>
      </c>
      <c r="D157" s="1">
        <v>45261</v>
      </c>
    </row>
    <row r="158" spans="1:4" x14ac:dyDescent="0.25">
      <c r="A158" t="s">
        <v>5</v>
      </c>
      <c r="B158" t="s">
        <v>6</v>
      </c>
      <c r="C158">
        <v>101.59945999999999</v>
      </c>
      <c r="D158" s="1">
        <v>45292</v>
      </c>
    </row>
    <row r="159" spans="1:4" x14ac:dyDescent="0.25">
      <c r="A159" t="s">
        <v>5</v>
      </c>
      <c r="B159" t="s">
        <v>6</v>
      </c>
      <c r="C159">
        <v>96.957899999999995</v>
      </c>
      <c r="D159" s="1">
        <v>45323</v>
      </c>
    </row>
    <row r="160" spans="1:4" x14ac:dyDescent="0.25">
      <c r="A160" t="s">
        <v>5</v>
      </c>
      <c r="B160" t="s">
        <v>6</v>
      </c>
      <c r="C160">
        <v>104.05418</v>
      </c>
      <c r="D160" s="1">
        <v>45352</v>
      </c>
    </row>
    <row r="161" spans="1:4" x14ac:dyDescent="0.25">
      <c r="A161" t="s">
        <v>5</v>
      </c>
      <c r="B161" t="s">
        <v>6</v>
      </c>
      <c r="C161">
        <v>103.14603</v>
      </c>
      <c r="D161" s="1">
        <v>45383</v>
      </c>
    </row>
    <row r="162" spans="1:4" x14ac:dyDescent="0.25">
      <c r="A162" t="s">
        <v>5</v>
      </c>
      <c r="B162" t="s">
        <v>6</v>
      </c>
      <c r="C162">
        <v>104.16661999999999</v>
      </c>
      <c r="D162" s="1">
        <v>45413</v>
      </c>
    </row>
    <row r="163" spans="1:4" x14ac:dyDescent="0.25">
      <c r="A163" t="s">
        <v>5</v>
      </c>
      <c r="B163" t="s">
        <v>6</v>
      </c>
      <c r="C163">
        <v>105.41407</v>
      </c>
      <c r="D163" s="1">
        <v>45444</v>
      </c>
    </row>
    <row r="164" spans="1:4" x14ac:dyDescent="0.25">
      <c r="A164" t="s">
        <v>5</v>
      </c>
      <c r="B164" t="s">
        <v>6</v>
      </c>
      <c r="C164">
        <v>108.54947</v>
      </c>
      <c r="D164" s="1">
        <v>45474</v>
      </c>
    </row>
    <row r="165" spans="1:4" x14ac:dyDescent="0.25">
      <c r="A165" t="s">
        <v>5</v>
      </c>
      <c r="B165" t="s">
        <v>6</v>
      </c>
      <c r="C165">
        <v>107.94947000000001</v>
      </c>
      <c r="D165" s="1">
        <v>45505</v>
      </c>
    </row>
    <row r="166" spans="1:4" x14ac:dyDescent="0.25">
      <c r="A166" t="s">
        <v>5</v>
      </c>
      <c r="B166" t="s">
        <v>6</v>
      </c>
      <c r="C166">
        <v>107.58808999999999</v>
      </c>
      <c r="D166" s="1">
        <v>45536</v>
      </c>
    </row>
    <row r="167" spans="1:4" x14ac:dyDescent="0.25">
      <c r="A167" t="s">
        <v>5</v>
      </c>
      <c r="B167" t="s">
        <v>6</v>
      </c>
      <c r="C167">
        <v>110.41131</v>
      </c>
      <c r="D167" s="1">
        <v>45566</v>
      </c>
    </row>
    <row r="168" spans="1:4" x14ac:dyDescent="0.25">
      <c r="A168" t="s">
        <v>5</v>
      </c>
      <c r="B168" t="s">
        <v>6</v>
      </c>
      <c r="C168">
        <v>108.43105</v>
      </c>
      <c r="D168" s="1">
        <v>45597</v>
      </c>
    </row>
    <row r="169" spans="1:4" x14ac:dyDescent="0.25">
      <c r="A169" t="s">
        <v>5</v>
      </c>
      <c r="B169" t="s">
        <v>6</v>
      </c>
      <c r="C169">
        <v>115.38782999999999</v>
      </c>
      <c r="D169" s="1">
        <v>45627</v>
      </c>
    </row>
    <row r="170" spans="1:4" x14ac:dyDescent="0.25">
      <c r="A170" t="s">
        <v>5</v>
      </c>
      <c r="B170" t="s">
        <v>6</v>
      </c>
      <c r="C170">
        <v>102.67429</v>
      </c>
      <c r="D170" s="1">
        <v>45658</v>
      </c>
    </row>
    <row r="171" spans="1:4" x14ac:dyDescent="0.25">
      <c r="A171" t="s">
        <v>5</v>
      </c>
      <c r="B171" t="s">
        <v>6</v>
      </c>
      <c r="C171">
        <v>101.13556</v>
      </c>
      <c r="D171" s="1">
        <v>45689</v>
      </c>
    </row>
    <row r="172" spans="1:4" x14ac:dyDescent="0.25">
      <c r="A172" t="s">
        <v>5</v>
      </c>
      <c r="B172" t="s">
        <v>6</v>
      </c>
      <c r="C172">
        <v>105.88565</v>
      </c>
      <c r="D172" s="1">
        <v>45717</v>
      </c>
    </row>
    <row r="173" spans="1:4" x14ac:dyDescent="0.25">
      <c r="A173" t="s">
        <v>5</v>
      </c>
      <c r="B173" t="s">
        <v>6</v>
      </c>
      <c r="C173">
        <v>105.00353</v>
      </c>
      <c r="D173" s="1">
        <v>45748</v>
      </c>
    </row>
    <row r="174" spans="1:4" x14ac:dyDescent="0.25">
      <c r="A174" t="s">
        <v>5</v>
      </c>
      <c r="B174" t="s">
        <v>6</v>
      </c>
      <c r="C174">
        <v>108.24518</v>
      </c>
      <c r="D174" s="1">
        <v>45778</v>
      </c>
    </row>
    <row r="175" spans="1:4" x14ac:dyDescent="0.25">
      <c r="A175" t="s">
        <v>5</v>
      </c>
      <c r="B175" t="s">
        <v>6</v>
      </c>
      <c r="C175">
        <v>108.61254</v>
      </c>
      <c r="D175" s="1">
        <v>45809</v>
      </c>
    </row>
    <row r="176" spans="1:4" x14ac:dyDescent="0.25">
      <c r="A176" t="s">
        <v>5</v>
      </c>
      <c r="B176" t="s">
        <v>6</v>
      </c>
      <c r="C176">
        <v>111.64846</v>
      </c>
      <c r="D176" s="1">
        <v>45839</v>
      </c>
    </row>
    <row r="177" spans="1:4" x14ac:dyDescent="0.25">
      <c r="A177" t="s">
        <v>5</v>
      </c>
      <c r="B177" t="s">
        <v>6</v>
      </c>
      <c r="C177">
        <v>110.62871</v>
      </c>
      <c r="D177" s="1">
        <v>45870</v>
      </c>
    </row>
    <row r="178" spans="1:4" x14ac:dyDescent="0.25">
      <c r="A178" t="s">
        <v>5</v>
      </c>
      <c r="B178" t="s">
        <v>7</v>
      </c>
      <c r="C178">
        <v>118.09254</v>
      </c>
      <c r="D178" s="1">
        <v>40544</v>
      </c>
    </row>
    <row r="179" spans="1:4" x14ac:dyDescent="0.25">
      <c r="A179" t="s">
        <v>5</v>
      </c>
      <c r="B179" t="s">
        <v>7</v>
      </c>
      <c r="C179">
        <v>103.19315</v>
      </c>
      <c r="D179" s="1">
        <v>40575</v>
      </c>
    </row>
    <row r="180" spans="1:4" x14ac:dyDescent="0.25">
      <c r="A180" t="s">
        <v>5</v>
      </c>
      <c r="B180" t="s">
        <v>7</v>
      </c>
      <c r="C180">
        <v>113.71661</v>
      </c>
      <c r="D180" s="1">
        <v>40603</v>
      </c>
    </row>
    <row r="181" spans="1:4" x14ac:dyDescent="0.25">
      <c r="A181" t="s">
        <v>5</v>
      </c>
      <c r="B181" t="s">
        <v>7</v>
      </c>
      <c r="C181">
        <v>113.32889</v>
      </c>
      <c r="D181" s="1">
        <v>40634</v>
      </c>
    </row>
    <row r="182" spans="1:4" x14ac:dyDescent="0.25">
      <c r="A182" t="s">
        <v>5</v>
      </c>
      <c r="B182" t="s">
        <v>7</v>
      </c>
      <c r="C182">
        <v>110.48551999999999</v>
      </c>
      <c r="D182" s="1">
        <v>40664</v>
      </c>
    </row>
    <row r="183" spans="1:4" x14ac:dyDescent="0.25">
      <c r="A183" t="s">
        <v>5</v>
      </c>
      <c r="B183" t="s">
        <v>7</v>
      </c>
      <c r="C183">
        <v>110.05206</v>
      </c>
      <c r="D183" s="1">
        <v>40695</v>
      </c>
    </row>
    <row r="184" spans="1:4" x14ac:dyDescent="0.25">
      <c r="A184" t="s">
        <v>5</v>
      </c>
      <c r="B184" t="s">
        <v>7</v>
      </c>
      <c r="C184">
        <v>119.31916</v>
      </c>
      <c r="D184" s="1">
        <v>40725</v>
      </c>
    </row>
    <row r="185" spans="1:4" x14ac:dyDescent="0.25">
      <c r="A185" t="s">
        <v>5</v>
      </c>
      <c r="B185" t="s">
        <v>7</v>
      </c>
      <c r="C185">
        <v>114.75471</v>
      </c>
      <c r="D185" s="1">
        <v>40756</v>
      </c>
    </row>
    <row r="186" spans="1:4" x14ac:dyDescent="0.25">
      <c r="A186" t="s">
        <v>5</v>
      </c>
      <c r="B186" t="s">
        <v>7</v>
      </c>
      <c r="C186">
        <v>112.59452</v>
      </c>
      <c r="D186" s="1">
        <v>40787</v>
      </c>
    </row>
    <row r="187" spans="1:4" x14ac:dyDescent="0.25">
      <c r="A187" t="s">
        <v>5</v>
      </c>
      <c r="B187" t="s">
        <v>7</v>
      </c>
      <c r="C187">
        <v>117.78819</v>
      </c>
      <c r="D187" s="1">
        <v>40817</v>
      </c>
    </row>
    <row r="188" spans="1:4" x14ac:dyDescent="0.25">
      <c r="A188" t="s">
        <v>5</v>
      </c>
      <c r="B188" t="s">
        <v>7</v>
      </c>
      <c r="C188">
        <v>121.36412</v>
      </c>
      <c r="D188" s="1">
        <v>40848</v>
      </c>
    </row>
    <row r="189" spans="1:4" x14ac:dyDescent="0.25">
      <c r="A189" t="s">
        <v>5</v>
      </c>
      <c r="B189" t="s">
        <v>7</v>
      </c>
      <c r="C189">
        <v>130.85341</v>
      </c>
      <c r="D189" s="1">
        <v>40878</v>
      </c>
    </row>
    <row r="190" spans="1:4" x14ac:dyDescent="0.25">
      <c r="A190" t="s">
        <v>5</v>
      </c>
      <c r="B190" t="s">
        <v>7</v>
      </c>
      <c r="C190">
        <v>122.11736000000001</v>
      </c>
      <c r="D190" s="1">
        <v>40909</v>
      </c>
    </row>
    <row r="191" spans="1:4" x14ac:dyDescent="0.25">
      <c r="A191" t="s">
        <v>5</v>
      </c>
      <c r="B191" t="s">
        <v>7</v>
      </c>
      <c r="C191">
        <v>107.70578999999999</v>
      </c>
      <c r="D191" s="1">
        <v>40940</v>
      </c>
    </row>
    <row r="192" spans="1:4" x14ac:dyDescent="0.25">
      <c r="A192" t="s">
        <v>5</v>
      </c>
      <c r="B192" t="s">
        <v>7</v>
      </c>
      <c r="C192">
        <v>115.69252</v>
      </c>
      <c r="D192" s="1">
        <v>40969</v>
      </c>
    </row>
    <row r="193" spans="1:4" x14ac:dyDescent="0.25">
      <c r="A193" t="s">
        <v>5</v>
      </c>
      <c r="B193" t="s">
        <v>7</v>
      </c>
      <c r="C193">
        <v>110.80206</v>
      </c>
      <c r="D193" s="1">
        <v>41000</v>
      </c>
    </row>
    <row r="194" spans="1:4" x14ac:dyDescent="0.25">
      <c r="A194" t="s">
        <v>5</v>
      </c>
      <c r="B194" t="s">
        <v>7</v>
      </c>
      <c r="C194">
        <v>111.66576000000001</v>
      </c>
      <c r="D194" s="1">
        <v>41030</v>
      </c>
    </row>
    <row r="195" spans="1:4" x14ac:dyDescent="0.25">
      <c r="A195" t="s">
        <v>5</v>
      </c>
      <c r="B195" t="s">
        <v>7</v>
      </c>
      <c r="C195">
        <v>111.36542</v>
      </c>
      <c r="D195" s="1">
        <v>41061</v>
      </c>
    </row>
    <row r="196" spans="1:4" x14ac:dyDescent="0.25">
      <c r="A196" t="s">
        <v>5</v>
      </c>
      <c r="B196" t="s">
        <v>7</v>
      </c>
      <c r="C196">
        <v>115.40539</v>
      </c>
      <c r="D196" s="1">
        <v>41091</v>
      </c>
    </row>
    <row r="197" spans="1:4" x14ac:dyDescent="0.25">
      <c r="A197" t="s">
        <v>5</v>
      </c>
      <c r="B197" t="s">
        <v>7</v>
      </c>
      <c r="C197">
        <v>116.35603999999999</v>
      </c>
      <c r="D197" s="1">
        <v>41122</v>
      </c>
    </row>
    <row r="198" spans="1:4" x14ac:dyDescent="0.25">
      <c r="A198" t="s">
        <v>5</v>
      </c>
      <c r="B198" t="s">
        <v>7</v>
      </c>
      <c r="C198">
        <v>114.55901</v>
      </c>
      <c r="D198" s="1">
        <v>41153</v>
      </c>
    </row>
    <row r="199" spans="1:4" x14ac:dyDescent="0.25">
      <c r="A199" t="s">
        <v>5</v>
      </c>
      <c r="B199" t="s">
        <v>7</v>
      </c>
      <c r="C199">
        <v>118.16656999999999</v>
      </c>
      <c r="D199" s="1">
        <v>41183</v>
      </c>
    </row>
    <row r="200" spans="1:4" x14ac:dyDescent="0.25">
      <c r="A200" t="s">
        <v>5</v>
      </c>
      <c r="B200" t="s">
        <v>7</v>
      </c>
      <c r="C200">
        <v>121.80072</v>
      </c>
      <c r="D200" s="1">
        <v>41214</v>
      </c>
    </row>
    <row r="201" spans="1:4" x14ac:dyDescent="0.25">
      <c r="A201" t="s">
        <v>5</v>
      </c>
      <c r="B201" t="s">
        <v>7</v>
      </c>
      <c r="C201">
        <v>133.37487999999999</v>
      </c>
      <c r="D201" s="1">
        <v>41244</v>
      </c>
    </row>
    <row r="202" spans="1:4" x14ac:dyDescent="0.25">
      <c r="A202" t="s">
        <v>5</v>
      </c>
      <c r="B202" t="s">
        <v>7</v>
      </c>
      <c r="C202">
        <v>121.75472000000001</v>
      </c>
      <c r="D202" s="1">
        <v>41275</v>
      </c>
    </row>
    <row r="203" spans="1:4" x14ac:dyDescent="0.25">
      <c r="A203" t="s">
        <v>5</v>
      </c>
      <c r="B203" t="s">
        <v>7</v>
      </c>
      <c r="C203">
        <v>105.36019</v>
      </c>
      <c r="D203" s="1">
        <v>41306</v>
      </c>
    </row>
    <row r="204" spans="1:4" x14ac:dyDescent="0.25">
      <c r="A204" t="s">
        <v>5</v>
      </c>
      <c r="B204" t="s">
        <v>7</v>
      </c>
      <c r="C204">
        <v>116.63112</v>
      </c>
      <c r="D204" s="1">
        <v>41334</v>
      </c>
    </row>
    <row r="205" spans="1:4" x14ac:dyDescent="0.25">
      <c r="A205" t="s">
        <v>5</v>
      </c>
      <c r="B205" t="s">
        <v>7</v>
      </c>
      <c r="C205">
        <v>112.29174999999999</v>
      </c>
      <c r="D205" s="1">
        <v>41365</v>
      </c>
    </row>
    <row r="206" spans="1:4" x14ac:dyDescent="0.25">
      <c r="A206" t="s">
        <v>5</v>
      </c>
      <c r="B206" t="s">
        <v>7</v>
      </c>
      <c r="C206">
        <v>112.30848</v>
      </c>
      <c r="D206" s="1">
        <v>41395</v>
      </c>
    </row>
    <row r="207" spans="1:4" x14ac:dyDescent="0.25">
      <c r="A207" t="s">
        <v>5</v>
      </c>
      <c r="B207" t="s">
        <v>7</v>
      </c>
      <c r="C207">
        <v>110.09666</v>
      </c>
      <c r="D207" s="1">
        <v>41426</v>
      </c>
    </row>
    <row r="208" spans="1:4" x14ac:dyDescent="0.25">
      <c r="A208" t="s">
        <v>5</v>
      </c>
      <c r="B208" t="s">
        <v>7</v>
      </c>
      <c r="C208">
        <v>118.76278000000001</v>
      </c>
      <c r="D208" s="1">
        <v>41456</v>
      </c>
    </row>
    <row r="209" spans="1:4" x14ac:dyDescent="0.25">
      <c r="A209" t="s">
        <v>5</v>
      </c>
      <c r="B209" t="s">
        <v>7</v>
      </c>
      <c r="C209">
        <v>117.90903</v>
      </c>
      <c r="D209" s="1">
        <v>41487</v>
      </c>
    </row>
    <row r="210" spans="1:4" x14ac:dyDescent="0.25">
      <c r="A210" t="s">
        <v>5</v>
      </c>
      <c r="B210" t="s">
        <v>7</v>
      </c>
      <c r="C210">
        <v>114.23005999999999</v>
      </c>
      <c r="D210" s="1">
        <v>41518</v>
      </c>
    </row>
    <row r="211" spans="1:4" x14ac:dyDescent="0.25">
      <c r="A211" t="s">
        <v>5</v>
      </c>
      <c r="B211" t="s">
        <v>7</v>
      </c>
      <c r="C211">
        <v>120.63324</v>
      </c>
      <c r="D211" s="1">
        <v>41548</v>
      </c>
    </row>
    <row r="212" spans="1:4" x14ac:dyDescent="0.25">
      <c r="A212" t="s">
        <v>5</v>
      </c>
      <c r="B212" t="s">
        <v>7</v>
      </c>
      <c r="C212">
        <v>121.7479</v>
      </c>
      <c r="D212" s="1">
        <v>41579</v>
      </c>
    </row>
    <row r="213" spans="1:4" x14ac:dyDescent="0.25">
      <c r="A213" t="s">
        <v>5</v>
      </c>
      <c r="B213" t="s">
        <v>7</v>
      </c>
      <c r="C213">
        <v>132.78564</v>
      </c>
      <c r="D213" s="1">
        <v>41609</v>
      </c>
    </row>
    <row r="214" spans="1:4" x14ac:dyDescent="0.25">
      <c r="A214" t="s">
        <v>5</v>
      </c>
      <c r="B214" t="s">
        <v>7</v>
      </c>
      <c r="C214">
        <v>125.74823000000001</v>
      </c>
      <c r="D214" s="1">
        <v>41640</v>
      </c>
    </row>
    <row r="215" spans="1:4" x14ac:dyDescent="0.25">
      <c r="A215" t="s">
        <v>5</v>
      </c>
      <c r="B215" t="s">
        <v>7</v>
      </c>
      <c r="C215">
        <v>108.79476</v>
      </c>
      <c r="D215" s="1">
        <v>41671</v>
      </c>
    </row>
    <row r="216" spans="1:4" x14ac:dyDescent="0.25">
      <c r="A216" t="s">
        <v>5</v>
      </c>
      <c r="B216" t="s">
        <v>7</v>
      </c>
      <c r="C216">
        <v>115.74303</v>
      </c>
      <c r="D216" s="1">
        <v>41699</v>
      </c>
    </row>
    <row r="217" spans="1:4" x14ac:dyDescent="0.25">
      <c r="A217" t="s">
        <v>5</v>
      </c>
      <c r="B217" t="s">
        <v>7</v>
      </c>
      <c r="C217">
        <v>112.14489</v>
      </c>
      <c r="D217" s="1">
        <v>41730</v>
      </c>
    </row>
    <row r="218" spans="1:4" x14ac:dyDescent="0.25">
      <c r="A218" t="s">
        <v>5</v>
      </c>
      <c r="B218" t="s">
        <v>7</v>
      </c>
      <c r="C218">
        <v>113.3066</v>
      </c>
      <c r="D218" s="1">
        <v>41760</v>
      </c>
    </row>
    <row r="219" spans="1:4" x14ac:dyDescent="0.25">
      <c r="A219" t="s">
        <v>5</v>
      </c>
      <c r="B219" t="s">
        <v>7</v>
      </c>
      <c r="C219">
        <v>105.18505</v>
      </c>
      <c r="D219" s="1">
        <v>41791</v>
      </c>
    </row>
    <row r="220" spans="1:4" x14ac:dyDescent="0.25">
      <c r="A220" t="s">
        <v>5</v>
      </c>
      <c r="B220" t="s">
        <v>7</v>
      </c>
      <c r="C220">
        <v>109.74503</v>
      </c>
      <c r="D220" s="1">
        <v>41821</v>
      </c>
    </row>
    <row r="221" spans="1:4" x14ac:dyDescent="0.25">
      <c r="A221" t="s">
        <v>5</v>
      </c>
      <c r="B221" t="s">
        <v>7</v>
      </c>
      <c r="C221">
        <v>115.85093999999999</v>
      </c>
      <c r="D221" s="1">
        <v>41852</v>
      </c>
    </row>
    <row r="222" spans="1:4" x14ac:dyDescent="0.25">
      <c r="A222" t="s">
        <v>5</v>
      </c>
      <c r="B222" t="s">
        <v>7</v>
      </c>
      <c r="C222">
        <v>110.23806</v>
      </c>
      <c r="D222" s="1">
        <v>41883</v>
      </c>
    </row>
    <row r="223" spans="1:4" x14ac:dyDescent="0.25">
      <c r="A223" t="s">
        <v>5</v>
      </c>
      <c r="B223" t="s">
        <v>7</v>
      </c>
      <c r="C223">
        <v>116.49804</v>
      </c>
      <c r="D223" s="1">
        <v>41913</v>
      </c>
    </row>
    <row r="224" spans="1:4" x14ac:dyDescent="0.25">
      <c r="A224" t="s">
        <v>5</v>
      </c>
      <c r="B224" t="s">
        <v>7</v>
      </c>
      <c r="C224">
        <v>115.31662</v>
      </c>
      <c r="D224" s="1">
        <v>41944</v>
      </c>
    </row>
    <row r="225" spans="1:4" x14ac:dyDescent="0.25">
      <c r="A225" t="s">
        <v>5</v>
      </c>
      <c r="B225" t="s">
        <v>7</v>
      </c>
      <c r="C225">
        <v>130.87142</v>
      </c>
      <c r="D225" s="1">
        <v>41974</v>
      </c>
    </row>
    <row r="226" spans="1:4" x14ac:dyDescent="0.25">
      <c r="A226" t="s">
        <v>5</v>
      </c>
      <c r="B226" t="s">
        <v>7</v>
      </c>
      <c r="C226">
        <v>123.54358000000001</v>
      </c>
      <c r="D226" s="1">
        <v>42005</v>
      </c>
    </row>
    <row r="227" spans="1:4" x14ac:dyDescent="0.25">
      <c r="A227" t="s">
        <v>5</v>
      </c>
      <c r="B227" t="s">
        <v>7</v>
      </c>
      <c r="C227">
        <v>105.96728</v>
      </c>
      <c r="D227" s="1">
        <v>42036</v>
      </c>
    </row>
    <row r="228" spans="1:4" x14ac:dyDescent="0.25">
      <c r="A228" t="s">
        <v>5</v>
      </c>
      <c r="B228" t="s">
        <v>7</v>
      </c>
      <c r="C228">
        <v>109.39818</v>
      </c>
      <c r="D228" s="1">
        <v>42064</v>
      </c>
    </row>
    <row r="229" spans="1:4" x14ac:dyDescent="0.25">
      <c r="A229" t="s">
        <v>5</v>
      </c>
      <c r="B229" t="s">
        <v>7</v>
      </c>
      <c r="C229">
        <v>104.60016</v>
      </c>
      <c r="D229" s="1">
        <v>42095</v>
      </c>
    </row>
    <row r="230" spans="1:4" x14ac:dyDescent="0.25">
      <c r="A230" t="s">
        <v>5</v>
      </c>
      <c r="B230" t="s">
        <v>7</v>
      </c>
      <c r="C230">
        <v>103.11359</v>
      </c>
      <c r="D230" s="1">
        <v>42125</v>
      </c>
    </row>
    <row r="231" spans="1:4" x14ac:dyDescent="0.25">
      <c r="A231" t="s">
        <v>5</v>
      </c>
      <c r="B231" t="s">
        <v>7</v>
      </c>
      <c r="C231">
        <v>102.48842999999999</v>
      </c>
      <c r="D231" s="1">
        <v>42156</v>
      </c>
    </row>
    <row r="232" spans="1:4" x14ac:dyDescent="0.25">
      <c r="A232" t="s">
        <v>5</v>
      </c>
      <c r="B232" t="s">
        <v>7</v>
      </c>
      <c r="C232">
        <v>107.6793</v>
      </c>
      <c r="D232" s="1">
        <v>42186</v>
      </c>
    </row>
    <row r="233" spans="1:4" x14ac:dyDescent="0.25">
      <c r="A233" t="s">
        <v>5</v>
      </c>
      <c r="B233" t="s">
        <v>7</v>
      </c>
      <c r="C233">
        <v>106.3361</v>
      </c>
      <c r="D233" s="1">
        <v>42217</v>
      </c>
    </row>
    <row r="234" spans="1:4" x14ac:dyDescent="0.25">
      <c r="A234" t="s">
        <v>5</v>
      </c>
      <c r="B234" t="s">
        <v>7</v>
      </c>
      <c r="C234">
        <v>102.87859</v>
      </c>
      <c r="D234" s="1">
        <v>42248</v>
      </c>
    </row>
    <row r="235" spans="1:4" x14ac:dyDescent="0.25">
      <c r="A235" t="s">
        <v>5</v>
      </c>
      <c r="B235" t="s">
        <v>7</v>
      </c>
      <c r="C235">
        <v>110.93342</v>
      </c>
      <c r="D235" s="1">
        <v>42278</v>
      </c>
    </row>
    <row r="236" spans="1:4" x14ac:dyDescent="0.25">
      <c r="A236" t="s">
        <v>5</v>
      </c>
      <c r="B236" t="s">
        <v>7</v>
      </c>
      <c r="C236">
        <v>107.75362</v>
      </c>
      <c r="D236" s="1">
        <v>42309</v>
      </c>
    </row>
    <row r="237" spans="1:4" x14ac:dyDescent="0.25">
      <c r="A237" t="s">
        <v>5</v>
      </c>
      <c r="B237" t="s">
        <v>7</v>
      </c>
      <c r="C237">
        <v>121.32942</v>
      </c>
      <c r="D237" s="1">
        <v>42339</v>
      </c>
    </row>
    <row r="238" spans="1:4" x14ac:dyDescent="0.25">
      <c r="A238" t="s">
        <v>5</v>
      </c>
      <c r="B238" t="s">
        <v>7</v>
      </c>
      <c r="C238">
        <v>118.42319000000001</v>
      </c>
      <c r="D238" s="1">
        <v>42370</v>
      </c>
    </row>
    <row r="239" spans="1:4" x14ac:dyDescent="0.25">
      <c r="A239" t="s">
        <v>5</v>
      </c>
      <c r="B239" t="s">
        <v>7</v>
      </c>
      <c r="C239">
        <v>104.52594999999999</v>
      </c>
      <c r="D239" s="1">
        <v>42401</v>
      </c>
    </row>
    <row r="240" spans="1:4" x14ac:dyDescent="0.25">
      <c r="A240" t="s">
        <v>5</v>
      </c>
      <c r="B240" t="s">
        <v>7</v>
      </c>
      <c r="C240">
        <v>105.2465</v>
      </c>
      <c r="D240" s="1">
        <v>42430</v>
      </c>
    </row>
    <row r="241" spans="1:4" x14ac:dyDescent="0.25">
      <c r="A241" t="s">
        <v>5</v>
      </c>
      <c r="B241" t="s">
        <v>7</v>
      </c>
      <c r="C241">
        <v>101.41495999999999</v>
      </c>
      <c r="D241" s="1">
        <v>42461</v>
      </c>
    </row>
    <row r="242" spans="1:4" x14ac:dyDescent="0.25">
      <c r="A242" t="s">
        <v>5</v>
      </c>
      <c r="B242" t="s">
        <v>7</v>
      </c>
      <c r="C242">
        <v>95.894480000000001</v>
      </c>
      <c r="D242" s="1">
        <v>42491</v>
      </c>
    </row>
    <row r="243" spans="1:4" x14ac:dyDescent="0.25">
      <c r="A243" t="s">
        <v>5</v>
      </c>
      <c r="B243" t="s">
        <v>7</v>
      </c>
      <c r="C243">
        <v>94.816609999999997</v>
      </c>
      <c r="D243" s="1">
        <v>42522</v>
      </c>
    </row>
    <row r="244" spans="1:4" x14ac:dyDescent="0.25">
      <c r="A244" t="s">
        <v>5</v>
      </c>
      <c r="B244" t="s">
        <v>7</v>
      </c>
      <c r="C244">
        <v>105.31361</v>
      </c>
      <c r="D244" s="1">
        <v>42552</v>
      </c>
    </row>
    <row r="245" spans="1:4" x14ac:dyDescent="0.25">
      <c r="A245" t="s">
        <v>5</v>
      </c>
      <c r="B245" t="s">
        <v>7</v>
      </c>
      <c r="C245">
        <v>101.9491</v>
      </c>
      <c r="D245" s="1">
        <v>42583</v>
      </c>
    </row>
    <row r="246" spans="1:4" x14ac:dyDescent="0.25">
      <c r="A246" t="s">
        <v>5</v>
      </c>
      <c r="B246" t="s">
        <v>7</v>
      </c>
      <c r="C246">
        <v>97.003309999999999</v>
      </c>
      <c r="D246" s="1">
        <v>42614</v>
      </c>
    </row>
    <row r="247" spans="1:4" x14ac:dyDescent="0.25">
      <c r="A247" t="s">
        <v>5</v>
      </c>
      <c r="B247" t="s">
        <v>7</v>
      </c>
      <c r="C247">
        <v>103.41034999999999</v>
      </c>
      <c r="D247" s="1">
        <v>42644</v>
      </c>
    </row>
    <row r="248" spans="1:4" x14ac:dyDescent="0.25">
      <c r="A248" t="s">
        <v>5</v>
      </c>
      <c r="B248" t="s">
        <v>7</v>
      </c>
      <c r="C248">
        <v>101.67032</v>
      </c>
      <c r="D248" s="1">
        <v>42675</v>
      </c>
    </row>
    <row r="249" spans="1:4" x14ac:dyDescent="0.25">
      <c r="A249" t="s">
        <v>5</v>
      </c>
      <c r="B249" t="s">
        <v>7</v>
      </c>
      <c r="C249">
        <v>119.46545</v>
      </c>
      <c r="D249" s="1">
        <v>42705</v>
      </c>
    </row>
    <row r="250" spans="1:4" x14ac:dyDescent="0.25">
      <c r="A250" t="s">
        <v>5</v>
      </c>
      <c r="B250" t="s">
        <v>7</v>
      </c>
      <c r="C250">
        <v>113.73218</v>
      </c>
      <c r="D250" s="1">
        <v>42736</v>
      </c>
    </row>
    <row r="251" spans="1:4" x14ac:dyDescent="0.25">
      <c r="A251" t="s">
        <v>5</v>
      </c>
      <c r="B251" t="s">
        <v>7</v>
      </c>
      <c r="C251">
        <v>97.497630000000001</v>
      </c>
      <c r="D251" s="1">
        <v>42767</v>
      </c>
    </row>
    <row r="252" spans="1:4" x14ac:dyDescent="0.25">
      <c r="A252" t="s">
        <v>5</v>
      </c>
      <c r="B252" t="s">
        <v>7</v>
      </c>
      <c r="C252">
        <v>101.99355</v>
      </c>
      <c r="D252" s="1">
        <v>42795</v>
      </c>
    </row>
    <row r="253" spans="1:4" x14ac:dyDescent="0.25">
      <c r="A253" t="s">
        <v>5</v>
      </c>
      <c r="B253" t="s">
        <v>7</v>
      </c>
      <c r="C253">
        <v>98.061329999999998</v>
      </c>
      <c r="D253" s="1">
        <v>42826</v>
      </c>
    </row>
    <row r="254" spans="1:4" x14ac:dyDescent="0.25">
      <c r="A254" t="s">
        <v>5</v>
      </c>
      <c r="B254" t="s">
        <v>7</v>
      </c>
      <c r="C254">
        <v>97.454939999999993</v>
      </c>
      <c r="D254" s="1">
        <v>42856</v>
      </c>
    </row>
    <row r="255" spans="1:4" x14ac:dyDescent="0.25">
      <c r="A255" t="s">
        <v>5</v>
      </c>
      <c r="B255" t="s">
        <v>7</v>
      </c>
      <c r="C255">
        <v>98.772649999999999</v>
      </c>
      <c r="D255" s="1">
        <v>42887</v>
      </c>
    </row>
    <row r="256" spans="1:4" x14ac:dyDescent="0.25">
      <c r="A256" t="s">
        <v>5</v>
      </c>
      <c r="B256" t="s">
        <v>7</v>
      </c>
      <c r="C256">
        <v>106.91758</v>
      </c>
      <c r="D256" s="1">
        <v>42917</v>
      </c>
    </row>
    <row r="257" spans="1:4" x14ac:dyDescent="0.25">
      <c r="A257" t="s">
        <v>5</v>
      </c>
      <c r="B257" t="s">
        <v>7</v>
      </c>
      <c r="C257">
        <v>97.651079999999993</v>
      </c>
      <c r="D257" s="1">
        <v>42948</v>
      </c>
    </row>
    <row r="258" spans="1:4" x14ac:dyDescent="0.25">
      <c r="A258" t="s">
        <v>5</v>
      </c>
      <c r="B258" t="s">
        <v>7</v>
      </c>
      <c r="C258">
        <v>101.44222000000001</v>
      </c>
      <c r="D258" s="1">
        <v>42979</v>
      </c>
    </row>
    <row r="259" spans="1:4" x14ac:dyDescent="0.25">
      <c r="A259" t="s">
        <v>5</v>
      </c>
      <c r="B259" t="s">
        <v>7</v>
      </c>
      <c r="C259">
        <v>103.83502</v>
      </c>
      <c r="D259" s="1">
        <v>43009</v>
      </c>
    </row>
    <row r="260" spans="1:4" x14ac:dyDescent="0.25">
      <c r="A260" t="s">
        <v>5</v>
      </c>
      <c r="B260" t="s">
        <v>7</v>
      </c>
      <c r="C260">
        <v>103.16011</v>
      </c>
      <c r="D260" s="1">
        <v>43040</v>
      </c>
    </row>
    <row r="261" spans="1:4" x14ac:dyDescent="0.25">
      <c r="A261" t="s">
        <v>5</v>
      </c>
      <c r="B261" t="s">
        <v>7</v>
      </c>
      <c r="C261">
        <v>115.25369999999999</v>
      </c>
      <c r="D261" s="1">
        <v>43070</v>
      </c>
    </row>
    <row r="262" spans="1:4" x14ac:dyDescent="0.25">
      <c r="A262" t="s">
        <v>5</v>
      </c>
      <c r="B262" t="s">
        <v>7</v>
      </c>
      <c r="C262">
        <v>110.35372</v>
      </c>
      <c r="D262" s="1">
        <v>43101</v>
      </c>
    </row>
    <row r="263" spans="1:4" x14ac:dyDescent="0.25">
      <c r="A263" t="s">
        <v>5</v>
      </c>
      <c r="B263" t="s">
        <v>7</v>
      </c>
      <c r="C263">
        <v>92.435900000000004</v>
      </c>
      <c r="D263" s="1">
        <v>43132</v>
      </c>
    </row>
    <row r="264" spans="1:4" x14ac:dyDescent="0.25">
      <c r="A264" t="s">
        <v>5</v>
      </c>
      <c r="B264" t="s">
        <v>7</v>
      </c>
      <c r="C264">
        <v>102.99281999999999</v>
      </c>
      <c r="D264" s="1">
        <v>43160</v>
      </c>
    </row>
    <row r="265" spans="1:4" x14ac:dyDescent="0.25">
      <c r="A265" t="s">
        <v>5</v>
      </c>
      <c r="B265" t="s">
        <v>7</v>
      </c>
      <c r="C265">
        <v>99.100430000000003</v>
      </c>
      <c r="D265" s="1">
        <v>43191</v>
      </c>
    </row>
    <row r="266" spans="1:4" x14ac:dyDescent="0.25">
      <c r="A266" t="s">
        <v>5</v>
      </c>
      <c r="B266" t="s">
        <v>7</v>
      </c>
      <c r="C266">
        <v>95.927080000000004</v>
      </c>
      <c r="D266" s="1">
        <v>43221</v>
      </c>
    </row>
    <row r="267" spans="1:4" x14ac:dyDescent="0.25">
      <c r="A267" t="s">
        <v>5</v>
      </c>
      <c r="B267" t="s">
        <v>7</v>
      </c>
      <c r="C267">
        <v>94.652159999999995</v>
      </c>
      <c r="D267" s="1">
        <v>43252</v>
      </c>
    </row>
    <row r="268" spans="1:4" x14ac:dyDescent="0.25">
      <c r="A268" t="s">
        <v>5</v>
      </c>
      <c r="B268" t="s">
        <v>7</v>
      </c>
      <c r="C268">
        <v>106.76802000000001</v>
      </c>
      <c r="D268" s="1">
        <v>43282</v>
      </c>
    </row>
    <row r="269" spans="1:4" x14ac:dyDescent="0.25">
      <c r="A269" t="s">
        <v>5</v>
      </c>
      <c r="B269" t="s">
        <v>7</v>
      </c>
      <c r="C269">
        <v>102.4285</v>
      </c>
      <c r="D269" s="1">
        <v>43313</v>
      </c>
    </row>
    <row r="270" spans="1:4" x14ac:dyDescent="0.25">
      <c r="A270" t="s">
        <v>5</v>
      </c>
      <c r="B270" t="s">
        <v>7</v>
      </c>
      <c r="C270">
        <v>101.91924</v>
      </c>
      <c r="D270" s="1">
        <v>43344</v>
      </c>
    </row>
    <row r="271" spans="1:4" x14ac:dyDescent="0.25">
      <c r="A271" t="s">
        <v>5</v>
      </c>
      <c r="B271" t="s">
        <v>7</v>
      </c>
      <c r="C271">
        <v>105.93432</v>
      </c>
      <c r="D271" s="1">
        <v>43374</v>
      </c>
    </row>
    <row r="272" spans="1:4" x14ac:dyDescent="0.25">
      <c r="A272" t="s">
        <v>5</v>
      </c>
      <c r="B272" t="s">
        <v>7</v>
      </c>
      <c r="C272">
        <v>106.41142000000001</v>
      </c>
      <c r="D272" s="1">
        <v>43405</v>
      </c>
    </row>
    <row r="273" spans="1:4" x14ac:dyDescent="0.25">
      <c r="A273" t="s">
        <v>5</v>
      </c>
      <c r="B273" t="s">
        <v>7</v>
      </c>
      <c r="C273">
        <v>118.83277</v>
      </c>
      <c r="D273" s="1">
        <v>43435</v>
      </c>
    </row>
    <row r="274" spans="1:4" x14ac:dyDescent="0.25">
      <c r="A274" t="s">
        <v>5</v>
      </c>
      <c r="B274" t="s">
        <v>7</v>
      </c>
      <c r="C274">
        <v>115.16343999999999</v>
      </c>
      <c r="D274" s="1">
        <v>43466</v>
      </c>
    </row>
    <row r="275" spans="1:4" x14ac:dyDescent="0.25">
      <c r="A275" t="s">
        <v>5</v>
      </c>
      <c r="B275" t="s">
        <v>7</v>
      </c>
      <c r="C275">
        <v>96.612700000000004</v>
      </c>
      <c r="D275" s="1">
        <v>43497</v>
      </c>
    </row>
    <row r="276" spans="1:4" x14ac:dyDescent="0.25">
      <c r="A276" t="s">
        <v>5</v>
      </c>
      <c r="B276" t="s">
        <v>7</v>
      </c>
      <c r="C276">
        <v>107.72149</v>
      </c>
      <c r="D276" s="1">
        <v>43525</v>
      </c>
    </row>
    <row r="277" spans="1:4" x14ac:dyDescent="0.25">
      <c r="A277" t="s">
        <v>5</v>
      </c>
      <c r="B277" t="s">
        <v>7</v>
      </c>
      <c r="C277">
        <v>102.67699</v>
      </c>
      <c r="D277" s="1">
        <v>43556</v>
      </c>
    </row>
    <row r="278" spans="1:4" x14ac:dyDescent="0.25">
      <c r="A278" t="s">
        <v>5</v>
      </c>
      <c r="B278" t="s">
        <v>7</v>
      </c>
      <c r="C278">
        <v>102.04552</v>
      </c>
      <c r="D278" s="1">
        <v>43586</v>
      </c>
    </row>
    <row r="279" spans="1:4" x14ac:dyDescent="0.25">
      <c r="A279" t="s">
        <v>5</v>
      </c>
      <c r="B279" t="s">
        <v>7</v>
      </c>
      <c r="C279">
        <v>100.03556</v>
      </c>
      <c r="D279" s="1">
        <v>43617</v>
      </c>
    </row>
    <row r="280" spans="1:4" x14ac:dyDescent="0.25">
      <c r="A280" t="s">
        <v>5</v>
      </c>
      <c r="B280" t="s">
        <v>7</v>
      </c>
      <c r="C280">
        <v>109.82455</v>
      </c>
      <c r="D280" s="1">
        <v>43647</v>
      </c>
    </row>
    <row r="281" spans="1:4" x14ac:dyDescent="0.25">
      <c r="A281" t="s">
        <v>5</v>
      </c>
      <c r="B281" t="s">
        <v>7</v>
      </c>
      <c r="C281">
        <v>103.31196</v>
      </c>
      <c r="D281" s="1">
        <v>43678</v>
      </c>
    </row>
    <row r="282" spans="1:4" x14ac:dyDescent="0.25">
      <c r="A282" t="s">
        <v>5</v>
      </c>
      <c r="B282" t="s">
        <v>7</v>
      </c>
      <c r="C282">
        <v>101.78789</v>
      </c>
      <c r="D282" s="1">
        <v>43709</v>
      </c>
    </row>
    <row r="283" spans="1:4" x14ac:dyDescent="0.25">
      <c r="A283" t="s">
        <v>5</v>
      </c>
      <c r="B283" t="s">
        <v>7</v>
      </c>
      <c r="C283">
        <v>108.65271</v>
      </c>
      <c r="D283" s="1">
        <v>43739</v>
      </c>
    </row>
    <row r="284" spans="1:4" x14ac:dyDescent="0.25">
      <c r="A284" t="s">
        <v>5</v>
      </c>
      <c r="B284" t="s">
        <v>7</v>
      </c>
      <c r="C284">
        <v>107.27664</v>
      </c>
      <c r="D284" s="1">
        <v>43770</v>
      </c>
    </row>
    <row r="285" spans="1:4" x14ac:dyDescent="0.25">
      <c r="A285" t="s">
        <v>5</v>
      </c>
      <c r="B285" t="s">
        <v>7</v>
      </c>
      <c r="C285">
        <v>116.90098</v>
      </c>
      <c r="D285" s="1">
        <v>43800</v>
      </c>
    </row>
    <row r="286" spans="1:4" x14ac:dyDescent="0.25">
      <c r="A286" t="s">
        <v>5</v>
      </c>
      <c r="B286" t="s">
        <v>7</v>
      </c>
      <c r="C286">
        <v>115.43093</v>
      </c>
      <c r="D286" s="1">
        <v>43831</v>
      </c>
    </row>
    <row r="287" spans="1:4" x14ac:dyDescent="0.25">
      <c r="A287" t="s">
        <v>5</v>
      </c>
      <c r="B287" t="s">
        <v>7</v>
      </c>
      <c r="C287">
        <v>99.925849999999997</v>
      </c>
      <c r="D287" s="1">
        <v>43862</v>
      </c>
    </row>
    <row r="288" spans="1:4" x14ac:dyDescent="0.25">
      <c r="A288" t="s">
        <v>5</v>
      </c>
      <c r="B288" t="s">
        <v>7</v>
      </c>
      <c r="C288">
        <v>71.595429999999993</v>
      </c>
      <c r="D288" s="1">
        <v>43891</v>
      </c>
    </row>
    <row r="289" spans="1:4" x14ac:dyDescent="0.25">
      <c r="A289" t="s">
        <v>5</v>
      </c>
      <c r="B289" t="s">
        <v>7</v>
      </c>
      <c r="C289">
        <v>35.639209999999999</v>
      </c>
      <c r="D289" s="1">
        <v>43922</v>
      </c>
    </row>
    <row r="290" spans="1:4" x14ac:dyDescent="0.25">
      <c r="A290" t="s">
        <v>5</v>
      </c>
      <c r="B290" t="s">
        <v>7</v>
      </c>
      <c r="C290">
        <v>39.16863</v>
      </c>
      <c r="D290" s="1">
        <v>43952</v>
      </c>
    </row>
    <row r="291" spans="1:4" x14ac:dyDescent="0.25">
      <c r="A291" t="s">
        <v>5</v>
      </c>
      <c r="B291" t="s">
        <v>7</v>
      </c>
      <c r="C291">
        <v>42.555840000000003</v>
      </c>
      <c r="D291" s="1">
        <v>43983</v>
      </c>
    </row>
    <row r="292" spans="1:4" x14ac:dyDescent="0.25">
      <c r="A292" t="s">
        <v>5</v>
      </c>
      <c r="B292" t="s">
        <v>7</v>
      </c>
      <c r="C292">
        <v>49.426859999999998</v>
      </c>
      <c r="D292" s="1">
        <v>44013</v>
      </c>
    </row>
    <row r="293" spans="1:4" x14ac:dyDescent="0.25">
      <c r="A293" t="s">
        <v>5</v>
      </c>
      <c r="B293" t="s">
        <v>7</v>
      </c>
      <c r="C293">
        <v>57.98462</v>
      </c>
      <c r="D293" s="1">
        <v>44044</v>
      </c>
    </row>
    <row r="294" spans="1:4" x14ac:dyDescent="0.25">
      <c r="A294" t="s">
        <v>5</v>
      </c>
      <c r="B294" t="s">
        <v>7</v>
      </c>
      <c r="C294">
        <v>64.769750000000002</v>
      </c>
      <c r="D294" s="1">
        <v>44075</v>
      </c>
    </row>
    <row r="295" spans="1:4" x14ac:dyDescent="0.25">
      <c r="A295" t="s">
        <v>5</v>
      </c>
      <c r="B295" t="s">
        <v>7</v>
      </c>
      <c r="C295">
        <v>76.138819999999996</v>
      </c>
      <c r="D295" s="1">
        <v>44105</v>
      </c>
    </row>
    <row r="296" spans="1:4" x14ac:dyDescent="0.25">
      <c r="A296" t="s">
        <v>5</v>
      </c>
      <c r="B296" t="s">
        <v>7</v>
      </c>
      <c r="C296">
        <v>79.315039999999996</v>
      </c>
      <c r="D296" s="1">
        <v>44136</v>
      </c>
    </row>
    <row r="297" spans="1:4" x14ac:dyDescent="0.25">
      <c r="A297" t="s">
        <v>5</v>
      </c>
      <c r="B297" t="s">
        <v>7</v>
      </c>
      <c r="C297">
        <v>87.294659999999993</v>
      </c>
      <c r="D297" s="1">
        <v>44166</v>
      </c>
    </row>
    <row r="298" spans="1:4" x14ac:dyDescent="0.25">
      <c r="A298" t="s">
        <v>5</v>
      </c>
      <c r="B298" t="s">
        <v>7</v>
      </c>
      <c r="C298">
        <v>83.082120000000003</v>
      </c>
      <c r="D298" s="1">
        <v>44197</v>
      </c>
    </row>
    <row r="299" spans="1:4" x14ac:dyDescent="0.25">
      <c r="A299" t="s">
        <v>5</v>
      </c>
      <c r="B299" t="s">
        <v>7</v>
      </c>
      <c r="C299">
        <v>71.605000000000004</v>
      </c>
      <c r="D299" s="1">
        <v>44228</v>
      </c>
    </row>
    <row r="300" spans="1:4" x14ac:dyDescent="0.25">
      <c r="A300" t="s">
        <v>5</v>
      </c>
      <c r="B300" t="s">
        <v>7</v>
      </c>
      <c r="C300">
        <v>59.331850000000003</v>
      </c>
      <c r="D300" s="1">
        <v>44256</v>
      </c>
    </row>
    <row r="301" spans="1:4" x14ac:dyDescent="0.25">
      <c r="A301" t="s">
        <v>5</v>
      </c>
      <c r="B301" t="s">
        <v>7</v>
      </c>
      <c r="C301">
        <v>59.072139999999997</v>
      </c>
      <c r="D301" s="1">
        <v>44287</v>
      </c>
    </row>
    <row r="302" spans="1:4" x14ac:dyDescent="0.25">
      <c r="A302" t="s">
        <v>5</v>
      </c>
      <c r="B302" t="s">
        <v>7</v>
      </c>
      <c r="C302">
        <v>69.301370000000006</v>
      </c>
      <c r="D302" s="1">
        <v>44317</v>
      </c>
    </row>
    <row r="303" spans="1:4" x14ac:dyDescent="0.25">
      <c r="A303" t="s">
        <v>5</v>
      </c>
      <c r="B303" t="s">
        <v>7</v>
      </c>
      <c r="C303">
        <v>73.58305</v>
      </c>
      <c r="D303" s="1">
        <v>44348</v>
      </c>
    </row>
    <row r="304" spans="1:4" x14ac:dyDescent="0.25">
      <c r="A304" t="s">
        <v>5</v>
      </c>
      <c r="B304" t="s">
        <v>7</v>
      </c>
      <c r="C304">
        <v>87.035169999999994</v>
      </c>
      <c r="D304" s="1">
        <v>44378</v>
      </c>
    </row>
    <row r="305" spans="1:4" x14ac:dyDescent="0.25">
      <c r="A305" t="s">
        <v>5</v>
      </c>
      <c r="B305" t="s">
        <v>7</v>
      </c>
      <c r="C305">
        <v>82.461209999999994</v>
      </c>
      <c r="D305" s="1">
        <v>44409</v>
      </c>
    </row>
    <row r="306" spans="1:4" x14ac:dyDescent="0.25">
      <c r="A306" t="s">
        <v>5</v>
      </c>
      <c r="B306" t="s">
        <v>7</v>
      </c>
      <c r="C306">
        <v>85.928730000000002</v>
      </c>
      <c r="D306" s="1">
        <v>44440</v>
      </c>
    </row>
    <row r="307" spans="1:4" x14ac:dyDescent="0.25">
      <c r="A307" t="s">
        <v>5</v>
      </c>
      <c r="B307" t="s">
        <v>7</v>
      </c>
      <c r="C307">
        <v>94.851849999999999</v>
      </c>
      <c r="D307" s="1">
        <v>44470</v>
      </c>
    </row>
    <row r="308" spans="1:4" x14ac:dyDescent="0.25">
      <c r="A308" t="s">
        <v>5</v>
      </c>
      <c r="B308" t="s">
        <v>7</v>
      </c>
      <c r="C308">
        <v>95.707380000000001</v>
      </c>
      <c r="D308" s="1">
        <v>44501</v>
      </c>
    </row>
    <row r="309" spans="1:4" x14ac:dyDescent="0.25">
      <c r="A309" t="s">
        <v>5</v>
      </c>
      <c r="B309" t="s">
        <v>7</v>
      </c>
      <c r="C309">
        <v>106.14413999999999</v>
      </c>
      <c r="D309" s="1">
        <v>44531</v>
      </c>
    </row>
    <row r="310" spans="1:4" x14ac:dyDescent="0.25">
      <c r="A310" t="s">
        <v>5</v>
      </c>
      <c r="B310" t="s">
        <v>7</v>
      </c>
      <c r="C310">
        <v>99.311000000000007</v>
      </c>
      <c r="D310" s="1">
        <v>44562</v>
      </c>
    </row>
    <row r="311" spans="1:4" x14ac:dyDescent="0.25">
      <c r="A311" t="s">
        <v>5</v>
      </c>
      <c r="B311" t="s">
        <v>7</v>
      </c>
      <c r="C311">
        <v>83.978669999999994</v>
      </c>
      <c r="D311" s="1">
        <v>44593</v>
      </c>
    </row>
    <row r="312" spans="1:4" x14ac:dyDescent="0.25">
      <c r="A312" t="s">
        <v>5</v>
      </c>
      <c r="B312" t="s">
        <v>7</v>
      </c>
      <c r="C312">
        <v>96.563339999999997</v>
      </c>
      <c r="D312" s="1">
        <v>44621</v>
      </c>
    </row>
    <row r="313" spans="1:4" x14ac:dyDescent="0.25">
      <c r="A313" t="s">
        <v>5</v>
      </c>
      <c r="B313" t="s">
        <v>7</v>
      </c>
      <c r="C313">
        <v>95.693209999999993</v>
      </c>
      <c r="D313" s="1">
        <v>44652</v>
      </c>
    </row>
    <row r="314" spans="1:4" x14ac:dyDescent="0.25">
      <c r="A314" t="s">
        <v>5</v>
      </c>
      <c r="B314" t="s">
        <v>7</v>
      </c>
      <c r="C314">
        <v>96.785259999999994</v>
      </c>
      <c r="D314" s="1">
        <v>44682</v>
      </c>
    </row>
    <row r="315" spans="1:4" x14ac:dyDescent="0.25">
      <c r="A315" t="s">
        <v>5</v>
      </c>
      <c r="B315" t="s">
        <v>7</v>
      </c>
      <c r="C315">
        <v>94.282290000000003</v>
      </c>
      <c r="D315" s="1">
        <v>44713</v>
      </c>
    </row>
    <row r="316" spans="1:4" x14ac:dyDescent="0.25">
      <c r="A316" t="s">
        <v>5</v>
      </c>
      <c r="B316" t="s">
        <v>7</v>
      </c>
      <c r="C316">
        <v>106.66839</v>
      </c>
      <c r="D316" s="1">
        <v>44743</v>
      </c>
    </row>
    <row r="317" spans="1:4" x14ac:dyDescent="0.25">
      <c r="A317" t="s">
        <v>5</v>
      </c>
      <c r="B317" t="s">
        <v>7</v>
      </c>
      <c r="C317">
        <v>100.45498000000001</v>
      </c>
      <c r="D317" s="1">
        <v>44774</v>
      </c>
    </row>
    <row r="318" spans="1:4" x14ac:dyDescent="0.25">
      <c r="A318" t="s">
        <v>5</v>
      </c>
      <c r="B318" t="s">
        <v>7</v>
      </c>
      <c r="C318">
        <v>101.40848</v>
      </c>
      <c r="D318" s="1">
        <v>44805</v>
      </c>
    </row>
    <row r="319" spans="1:4" x14ac:dyDescent="0.25">
      <c r="A319" t="s">
        <v>5</v>
      </c>
      <c r="B319" t="s">
        <v>7</v>
      </c>
      <c r="C319">
        <v>105.70755</v>
      </c>
      <c r="D319" s="1">
        <v>44835</v>
      </c>
    </row>
    <row r="320" spans="1:4" x14ac:dyDescent="0.25">
      <c r="A320" t="s">
        <v>5</v>
      </c>
      <c r="B320" t="s">
        <v>7</v>
      </c>
      <c r="C320">
        <v>103.21071000000001</v>
      </c>
      <c r="D320" s="1">
        <v>44866</v>
      </c>
    </row>
    <row r="321" spans="1:4" x14ac:dyDescent="0.25">
      <c r="A321" t="s">
        <v>5</v>
      </c>
      <c r="B321" t="s">
        <v>7</v>
      </c>
      <c r="C321">
        <v>115.93612</v>
      </c>
      <c r="D321" s="1">
        <v>44896</v>
      </c>
    </row>
    <row r="322" spans="1:4" x14ac:dyDescent="0.25">
      <c r="A322" t="s">
        <v>5</v>
      </c>
      <c r="B322" t="s">
        <v>7</v>
      </c>
      <c r="C322">
        <v>110.26821</v>
      </c>
      <c r="D322" s="1">
        <v>44927</v>
      </c>
    </row>
    <row r="323" spans="1:4" x14ac:dyDescent="0.25">
      <c r="A323" t="s">
        <v>5</v>
      </c>
      <c r="B323" t="s">
        <v>7</v>
      </c>
      <c r="C323">
        <v>93.013009999999994</v>
      </c>
      <c r="D323" s="1">
        <v>44958</v>
      </c>
    </row>
    <row r="324" spans="1:4" x14ac:dyDescent="0.25">
      <c r="A324" t="s">
        <v>5</v>
      </c>
      <c r="B324" t="s">
        <v>7</v>
      </c>
      <c r="C324">
        <v>99.995000000000005</v>
      </c>
      <c r="D324" s="1">
        <v>44986</v>
      </c>
    </row>
    <row r="325" spans="1:4" x14ac:dyDescent="0.25">
      <c r="A325" t="s">
        <v>5</v>
      </c>
      <c r="B325" t="s">
        <v>7</v>
      </c>
      <c r="C325">
        <v>98.835220000000007</v>
      </c>
      <c r="D325" s="1">
        <v>45017</v>
      </c>
    </row>
    <row r="326" spans="1:4" x14ac:dyDescent="0.25">
      <c r="A326" t="s">
        <v>5</v>
      </c>
      <c r="B326" t="s">
        <v>7</v>
      </c>
      <c r="C326">
        <v>99.549340000000001</v>
      </c>
      <c r="D326" s="1">
        <v>45047</v>
      </c>
    </row>
    <row r="327" spans="1:4" x14ac:dyDescent="0.25">
      <c r="A327" t="s">
        <v>5</v>
      </c>
      <c r="B327" t="s">
        <v>7</v>
      </c>
      <c r="C327">
        <v>99.756309999999999</v>
      </c>
      <c r="D327" s="1">
        <v>45078</v>
      </c>
    </row>
    <row r="328" spans="1:4" x14ac:dyDescent="0.25">
      <c r="A328" t="s">
        <v>5</v>
      </c>
      <c r="B328" t="s">
        <v>7</v>
      </c>
      <c r="C328">
        <v>112.80969</v>
      </c>
      <c r="D328" s="1">
        <v>45108</v>
      </c>
    </row>
    <row r="329" spans="1:4" x14ac:dyDescent="0.25">
      <c r="A329" t="s">
        <v>5</v>
      </c>
      <c r="B329" t="s">
        <v>7</v>
      </c>
      <c r="C329">
        <v>99.720259999999996</v>
      </c>
      <c r="D329" s="1">
        <v>45139</v>
      </c>
    </row>
    <row r="330" spans="1:4" x14ac:dyDescent="0.25">
      <c r="A330" t="s">
        <v>5</v>
      </c>
      <c r="B330" t="s">
        <v>7</v>
      </c>
      <c r="C330">
        <v>104.48882999999999</v>
      </c>
      <c r="D330" s="1">
        <v>45170</v>
      </c>
    </row>
    <row r="331" spans="1:4" x14ac:dyDescent="0.25">
      <c r="A331" t="s">
        <v>5</v>
      </c>
      <c r="B331" t="s">
        <v>7</v>
      </c>
      <c r="C331">
        <v>106.45686000000001</v>
      </c>
      <c r="D331" s="1">
        <v>45200</v>
      </c>
    </row>
    <row r="332" spans="1:4" x14ac:dyDescent="0.25">
      <c r="A332" t="s">
        <v>5</v>
      </c>
      <c r="B332" t="s">
        <v>7</v>
      </c>
      <c r="C332">
        <v>109.27807</v>
      </c>
      <c r="D332" s="1">
        <v>45231</v>
      </c>
    </row>
    <row r="333" spans="1:4" x14ac:dyDescent="0.25">
      <c r="A333" t="s">
        <v>5</v>
      </c>
      <c r="B333" t="s">
        <v>7</v>
      </c>
      <c r="C333">
        <v>125.38222</v>
      </c>
      <c r="D333" s="1">
        <v>45261</v>
      </c>
    </row>
    <row r="334" spans="1:4" x14ac:dyDescent="0.25">
      <c r="A334" t="s">
        <v>5</v>
      </c>
      <c r="B334" t="s">
        <v>7</v>
      </c>
      <c r="C334">
        <v>114.346</v>
      </c>
      <c r="D334" s="1">
        <v>45292</v>
      </c>
    </row>
    <row r="335" spans="1:4" x14ac:dyDescent="0.25">
      <c r="A335" t="s">
        <v>5</v>
      </c>
      <c r="B335" t="s">
        <v>7</v>
      </c>
      <c r="C335">
        <v>98.410709999999995</v>
      </c>
      <c r="D335" s="1">
        <v>45323</v>
      </c>
    </row>
    <row r="336" spans="1:4" x14ac:dyDescent="0.25">
      <c r="A336" t="s">
        <v>5</v>
      </c>
      <c r="B336" t="s">
        <v>7</v>
      </c>
      <c r="C336">
        <v>108.03429</v>
      </c>
      <c r="D336" s="1">
        <v>45352</v>
      </c>
    </row>
    <row r="337" spans="1:4" x14ac:dyDescent="0.25">
      <c r="A337" t="s">
        <v>5</v>
      </c>
      <c r="B337" t="s">
        <v>7</v>
      </c>
      <c r="C337">
        <v>100.04956</v>
      </c>
      <c r="D337" s="1">
        <v>45383</v>
      </c>
    </row>
    <row r="338" spans="1:4" x14ac:dyDescent="0.25">
      <c r="A338" t="s">
        <v>5</v>
      </c>
      <c r="B338" t="s">
        <v>7</v>
      </c>
      <c r="C338">
        <v>104.52464999999999</v>
      </c>
      <c r="D338" s="1">
        <v>45413</v>
      </c>
    </row>
    <row r="339" spans="1:4" x14ac:dyDescent="0.25">
      <c r="A339" t="s">
        <v>5</v>
      </c>
      <c r="B339" t="s">
        <v>7</v>
      </c>
      <c r="C339">
        <v>104.17368999999999</v>
      </c>
      <c r="D339" s="1">
        <v>45444</v>
      </c>
    </row>
    <row r="340" spans="1:4" x14ac:dyDescent="0.25">
      <c r="A340" t="s">
        <v>5</v>
      </c>
      <c r="B340" t="s">
        <v>7</v>
      </c>
      <c r="C340">
        <v>115.09074</v>
      </c>
      <c r="D340" s="1">
        <v>45474</v>
      </c>
    </row>
    <row r="341" spans="1:4" x14ac:dyDescent="0.25">
      <c r="A341" t="s">
        <v>5</v>
      </c>
      <c r="B341" t="s">
        <v>7</v>
      </c>
      <c r="C341">
        <v>107.00818</v>
      </c>
      <c r="D341" s="1">
        <v>45505</v>
      </c>
    </row>
    <row r="342" spans="1:4" x14ac:dyDescent="0.25">
      <c r="A342" t="s">
        <v>5</v>
      </c>
      <c r="B342" t="s">
        <v>7</v>
      </c>
      <c r="C342">
        <v>109.05683000000001</v>
      </c>
      <c r="D342" s="1">
        <v>45536</v>
      </c>
    </row>
    <row r="343" spans="1:4" x14ac:dyDescent="0.25">
      <c r="A343" t="s">
        <v>5</v>
      </c>
      <c r="B343" t="s">
        <v>7</v>
      </c>
      <c r="C343">
        <v>111.87083</v>
      </c>
      <c r="D343" s="1">
        <v>45566</v>
      </c>
    </row>
    <row r="344" spans="1:4" x14ac:dyDescent="0.25">
      <c r="A344" t="s">
        <v>5</v>
      </c>
      <c r="B344" t="s">
        <v>7</v>
      </c>
      <c r="C344">
        <v>114.89087000000001</v>
      </c>
      <c r="D344" s="1">
        <v>45597</v>
      </c>
    </row>
    <row r="345" spans="1:4" x14ac:dyDescent="0.25">
      <c r="A345" t="s">
        <v>5</v>
      </c>
      <c r="B345" t="s">
        <v>7</v>
      </c>
      <c r="C345">
        <v>128.48855</v>
      </c>
      <c r="D345" s="1">
        <v>45627</v>
      </c>
    </row>
    <row r="346" spans="1:4" x14ac:dyDescent="0.25">
      <c r="A346" t="s">
        <v>5</v>
      </c>
      <c r="B346" t="s">
        <v>7</v>
      </c>
      <c r="C346">
        <v>115.48611</v>
      </c>
      <c r="D346" s="1">
        <v>45658</v>
      </c>
    </row>
    <row r="347" spans="1:4" x14ac:dyDescent="0.25">
      <c r="A347" t="s">
        <v>5</v>
      </c>
      <c r="B347" t="s">
        <v>7</v>
      </c>
      <c r="C347">
        <v>98.296390000000002</v>
      </c>
      <c r="D347" s="1">
        <v>45689</v>
      </c>
    </row>
    <row r="348" spans="1:4" x14ac:dyDescent="0.25">
      <c r="A348" t="s">
        <v>5</v>
      </c>
      <c r="B348" t="s">
        <v>7</v>
      </c>
      <c r="C348">
        <v>112.07324</v>
      </c>
      <c r="D348" s="1">
        <v>45717</v>
      </c>
    </row>
    <row r="349" spans="1:4" x14ac:dyDescent="0.25">
      <c r="A349" t="s">
        <v>5</v>
      </c>
      <c r="B349" t="s">
        <v>7</v>
      </c>
      <c r="C349">
        <v>104.80901</v>
      </c>
      <c r="D349" s="1">
        <v>45748</v>
      </c>
    </row>
    <row r="350" spans="1:4" x14ac:dyDescent="0.25">
      <c r="A350" t="s">
        <v>5</v>
      </c>
      <c r="B350" t="s">
        <v>7</v>
      </c>
      <c r="C350">
        <v>107.47199000000001</v>
      </c>
      <c r="D350" s="1">
        <v>45778</v>
      </c>
    </row>
    <row r="351" spans="1:4" x14ac:dyDescent="0.25">
      <c r="A351" t="s">
        <v>5</v>
      </c>
      <c r="B351" t="s">
        <v>7</v>
      </c>
      <c r="C351">
        <v>103.19019</v>
      </c>
      <c r="D351" s="1">
        <v>45809</v>
      </c>
    </row>
    <row r="352" spans="1:4" x14ac:dyDescent="0.25">
      <c r="A352" t="s">
        <v>5</v>
      </c>
      <c r="B352" t="s">
        <v>7</v>
      </c>
      <c r="C352">
        <v>113.12538000000001</v>
      </c>
      <c r="D352" s="1">
        <v>45839</v>
      </c>
    </row>
    <row r="353" spans="1:4" x14ac:dyDescent="0.25">
      <c r="A353" t="s">
        <v>5</v>
      </c>
      <c r="B353" t="s">
        <v>7</v>
      </c>
      <c r="C353">
        <v>108.28099</v>
      </c>
      <c r="D353" s="1">
        <v>45870</v>
      </c>
    </row>
    <row r="354" spans="1:4" x14ac:dyDescent="0.25">
      <c r="A354" t="s">
        <v>5</v>
      </c>
      <c r="B354" t="s">
        <v>8</v>
      </c>
      <c r="C354">
        <v>73.403930000000003</v>
      </c>
      <c r="D354" s="1">
        <v>40544</v>
      </c>
    </row>
    <row r="355" spans="1:4" x14ac:dyDescent="0.25">
      <c r="A355" t="s">
        <v>5</v>
      </c>
      <c r="B355" t="s">
        <v>8</v>
      </c>
      <c r="C355">
        <v>73.001890000000003</v>
      </c>
      <c r="D355" s="1">
        <v>40575</v>
      </c>
    </row>
    <row r="356" spans="1:4" x14ac:dyDescent="0.25">
      <c r="A356" t="s">
        <v>5</v>
      </c>
      <c r="B356" t="s">
        <v>8</v>
      </c>
      <c r="C356">
        <v>76.851299999999995</v>
      </c>
      <c r="D356" s="1">
        <v>40603</v>
      </c>
    </row>
    <row r="357" spans="1:4" x14ac:dyDescent="0.25">
      <c r="A357" t="s">
        <v>5</v>
      </c>
      <c r="B357" t="s">
        <v>8</v>
      </c>
      <c r="C357">
        <v>75.950069999999997</v>
      </c>
      <c r="D357" s="1">
        <v>40634</v>
      </c>
    </row>
    <row r="358" spans="1:4" x14ac:dyDescent="0.25">
      <c r="A358" t="s">
        <v>5</v>
      </c>
      <c r="B358" t="s">
        <v>8</v>
      </c>
      <c r="C358">
        <v>77.319940000000003</v>
      </c>
      <c r="D358" s="1">
        <v>40664</v>
      </c>
    </row>
    <row r="359" spans="1:4" x14ac:dyDescent="0.25">
      <c r="A359" t="s">
        <v>5</v>
      </c>
      <c r="B359" t="s">
        <v>8</v>
      </c>
      <c r="C359">
        <v>78.764849999999996</v>
      </c>
      <c r="D359" s="1">
        <v>40695</v>
      </c>
    </row>
    <row r="360" spans="1:4" x14ac:dyDescent="0.25">
      <c r="A360" t="s">
        <v>5</v>
      </c>
      <c r="B360" t="s">
        <v>8</v>
      </c>
      <c r="C360">
        <v>78.139709999999994</v>
      </c>
      <c r="D360" s="1">
        <v>40725</v>
      </c>
    </row>
    <row r="361" spans="1:4" x14ac:dyDescent="0.25">
      <c r="A361" t="s">
        <v>5</v>
      </c>
      <c r="B361" t="s">
        <v>8</v>
      </c>
      <c r="C361">
        <v>80.048940000000002</v>
      </c>
      <c r="D361" s="1">
        <v>40756</v>
      </c>
    </row>
    <row r="362" spans="1:4" x14ac:dyDescent="0.25">
      <c r="A362" t="s">
        <v>5</v>
      </c>
      <c r="B362" t="s">
        <v>8</v>
      </c>
      <c r="C362">
        <v>81.251149999999996</v>
      </c>
      <c r="D362" s="1">
        <v>40787</v>
      </c>
    </row>
    <row r="363" spans="1:4" x14ac:dyDescent="0.25">
      <c r="A363" t="s">
        <v>5</v>
      </c>
      <c r="B363" t="s">
        <v>8</v>
      </c>
      <c r="C363">
        <v>80.385750000000002</v>
      </c>
      <c r="D363" s="1">
        <v>40817</v>
      </c>
    </row>
    <row r="364" spans="1:4" x14ac:dyDescent="0.25">
      <c r="A364" t="s">
        <v>5</v>
      </c>
      <c r="B364" t="s">
        <v>8</v>
      </c>
      <c r="C364">
        <v>82.085599999999999</v>
      </c>
      <c r="D364" s="1">
        <v>40848</v>
      </c>
    </row>
    <row r="365" spans="1:4" x14ac:dyDescent="0.25">
      <c r="A365" t="s">
        <v>5</v>
      </c>
      <c r="B365" t="s">
        <v>8</v>
      </c>
      <c r="C365">
        <v>88.704610000000002</v>
      </c>
      <c r="D365" s="1">
        <v>40878</v>
      </c>
    </row>
    <row r="366" spans="1:4" x14ac:dyDescent="0.25">
      <c r="A366" t="s">
        <v>5</v>
      </c>
      <c r="B366" t="s">
        <v>8</v>
      </c>
      <c r="C366">
        <v>77.981740000000002</v>
      </c>
      <c r="D366" s="1">
        <v>40909</v>
      </c>
    </row>
    <row r="367" spans="1:4" x14ac:dyDescent="0.25">
      <c r="A367" t="s">
        <v>5</v>
      </c>
      <c r="B367" t="s">
        <v>8</v>
      </c>
      <c r="C367">
        <v>78.670580000000001</v>
      </c>
      <c r="D367" s="1">
        <v>40940</v>
      </c>
    </row>
    <row r="368" spans="1:4" x14ac:dyDescent="0.25">
      <c r="A368" t="s">
        <v>5</v>
      </c>
      <c r="B368" t="s">
        <v>8</v>
      </c>
      <c r="C368">
        <v>82.535920000000004</v>
      </c>
      <c r="D368" s="1">
        <v>40969</v>
      </c>
    </row>
    <row r="369" spans="1:4" x14ac:dyDescent="0.25">
      <c r="A369" t="s">
        <v>5</v>
      </c>
      <c r="B369" t="s">
        <v>8</v>
      </c>
      <c r="C369">
        <v>78.013829999999999</v>
      </c>
      <c r="D369" s="1">
        <v>41000</v>
      </c>
    </row>
    <row r="370" spans="1:4" x14ac:dyDescent="0.25">
      <c r="A370" t="s">
        <v>5</v>
      </c>
      <c r="B370" t="s">
        <v>8</v>
      </c>
      <c r="C370">
        <v>82.578130000000002</v>
      </c>
      <c r="D370" s="1">
        <v>41030</v>
      </c>
    </row>
    <row r="371" spans="1:4" x14ac:dyDescent="0.25">
      <c r="A371" t="s">
        <v>5</v>
      </c>
      <c r="B371" t="s">
        <v>8</v>
      </c>
      <c r="C371">
        <v>81.960639999999998</v>
      </c>
      <c r="D371" s="1">
        <v>41061</v>
      </c>
    </row>
    <row r="372" spans="1:4" x14ac:dyDescent="0.25">
      <c r="A372" t="s">
        <v>5</v>
      </c>
      <c r="B372" t="s">
        <v>8</v>
      </c>
      <c r="C372">
        <v>81.251360000000005</v>
      </c>
      <c r="D372" s="1">
        <v>41091</v>
      </c>
    </row>
    <row r="373" spans="1:4" x14ac:dyDescent="0.25">
      <c r="A373" t="s">
        <v>5</v>
      </c>
      <c r="B373" t="s">
        <v>8</v>
      </c>
      <c r="C373">
        <v>83.320719999999994</v>
      </c>
      <c r="D373" s="1">
        <v>41122</v>
      </c>
    </row>
    <row r="374" spans="1:4" x14ac:dyDescent="0.25">
      <c r="A374" t="s">
        <v>5</v>
      </c>
      <c r="B374" t="s">
        <v>8</v>
      </c>
      <c r="C374">
        <v>82.372810000000001</v>
      </c>
      <c r="D374" s="1">
        <v>41153</v>
      </c>
    </row>
    <row r="375" spans="1:4" x14ac:dyDescent="0.25">
      <c r="A375" t="s">
        <v>5</v>
      </c>
      <c r="B375" t="s">
        <v>8</v>
      </c>
      <c r="C375">
        <v>84.044219999999996</v>
      </c>
      <c r="D375" s="1">
        <v>41183</v>
      </c>
    </row>
    <row r="376" spans="1:4" x14ac:dyDescent="0.25">
      <c r="A376" t="s">
        <v>5</v>
      </c>
      <c r="B376" t="s">
        <v>8</v>
      </c>
      <c r="C376">
        <v>85.947329999999994</v>
      </c>
      <c r="D376" s="1">
        <v>41214</v>
      </c>
    </row>
    <row r="377" spans="1:4" x14ac:dyDescent="0.25">
      <c r="A377" t="s">
        <v>5</v>
      </c>
      <c r="B377" t="s">
        <v>8</v>
      </c>
      <c r="C377">
        <v>93.768900000000002</v>
      </c>
      <c r="D377" s="1">
        <v>41244</v>
      </c>
    </row>
    <row r="378" spans="1:4" x14ac:dyDescent="0.25">
      <c r="A378" t="s">
        <v>5</v>
      </c>
      <c r="B378" t="s">
        <v>8</v>
      </c>
      <c r="C378">
        <v>82.623559999999998</v>
      </c>
      <c r="D378" s="1">
        <v>41275</v>
      </c>
    </row>
    <row r="379" spans="1:4" x14ac:dyDescent="0.25">
      <c r="A379" t="s">
        <v>5</v>
      </c>
      <c r="B379" t="s">
        <v>8</v>
      </c>
      <c r="C379">
        <v>81.277199999999993</v>
      </c>
      <c r="D379" s="1">
        <v>41306</v>
      </c>
    </row>
    <row r="380" spans="1:4" x14ac:dyDescent="0.25">
      <c r="A380" t="s">
        <v>5</v>
      </c>
      <c r="B380" t="s">
        <v>8</v>
      </c>
      <c r="C380">
        <v>85.751739999999998</v>
      </c>
      <c r="D380" s="1">
        <v>41334</v>
      </c>
    </row>
    <row r="381" spans="1:4" x14ac:dyDescent="0.25">
      <c r="A381" t="s">
        <v>5</v>
      </c>
      <c r="B381" t="s">
        <v>8</v>
      </c>
      <c r="C381">
        <v>85.155370000000005</v>
      </c>
      <c r="D381" s="1">
        <v>41365</v>
      </c>
    </row>
    <row r="382" spans="1:4" x14ac:dyDescent="0.25">
      <c r="A382" t="s">
        <v>5</v>
      </c>
      <c r="B382" t="s">
        <v>8</v>
      </c>
      <c r="C382">
        <v>86.635750000000002</v>
      </c>
      <c r="D382" s="1">
        <v>41395</v>
      </c>
    </row>
    <row r="383" spans="1:4" x14ac:dyDescent="0.25">
      <c r="A383" t="s">
        <v>5</v>
      </c>
      <c r="B383" t="s">
        <v>8</v>
      </c>
      <c r="C383">
        <v>87.389089999999996</v>
      </c>
      <c r="D383" s="1">
        <v>41426</v>
      </c>
    </row>
    <row r="384" spans="1:4" x14ac:dyDescent="0.25">
      <c r="A384" t="s">
        <v>5</v>
      </c>
      <c r="B384" t="s">
        <v>8</v>
      </c>
      <c r="C384">
        <v>86.801969999999997</v>
      </c>
      <c r="D384" s="1">
        <v>41456</v>
      </c>
    </row>
    <row r="385" spans="1:4" x14ac:dyDescent="0.25">
      <c r="A385" t="s">
        <v>5</v>
      </c>
      <c r="B385" t="s">
        <v>8</v>
      </c>
      <c r="C385">
        <v>87.170209999999997</v>
      </c>
      <c r="D385" s="1">
        <v>41487</v>
      </c>
    </row>
    <row r="386" spans="1:4" x14ac:dyDescent="0.25">
      <c r="A386" t="s">
        <v>5</v>
      </c>
      <c r="B386" t="s">
        <v>8</v>
      </c>
      <c r="C386">
        <v>89.001599999999996</v>
      </c>
      <c r="D386" s="1">
        <v>41518</v>
      </c>
    </row>
    <row r="387" spans="1:4" x14ac:dyDescent="0.25">
      <c r="A387" t="s">
        <v>5</v>
      </c>
      <c r="B387" t="s">
        <v>8</v>
      </c>
      <c r="C387">
        <v>90.835120000000003</v>
      </c>
      <c r="D387" s="1">
        <v>41548</v>
      </c>
    </row>
    <row r="388" spans="1:4" x14ac:dyDescent="0.25">
      <c r="A388" t="s">
        <v>5</v>
      </c>
      <c r="B388" t="s">
        <v>8</v>
      </c>
      <c r="C388">
        <v>91.905590000000004</v>
      </c>
      <c r="D388" s="1">
        <v>41579</v>
      </c>
    </row>
    <row r="389" spans="1:4" x14ac:dyDescent="0.25">
      <c r="A389" t="s">
        <v>5</v>
      </c>
      <c r="B389" t="s">
        <v>8</v>
      </c>
      <c r="C389">
        <v>99.766739999999999</v>
      </c>
      <c r="D389" s="1">
        <v>41609</v>
      </c>
    </row>
    <row r="390" spans="1:4" x14ac:dyDescent="0.25">
      <c r="A390" t="s">
        <v>5</v>
      </c>
      <c r="B390" t="s">
        <v>8</v>
      </c>
      <c r="C390">
        <v>89.721230000000006</v>
      </c>
      <c r="D390" s="1">
        <v>41640</v>
      </c>
    </row>
    <row r="391" spans="1:4" x14ac:dyDescent="0.25">
      <c r="A391" t="s">
        <v>5</v>
      </c>
      <c r="B391" t="s">
        <v>8</v>
      </c>
      <c r="C391">
        <v>86.607209999999995</v>
      </c>
      <c r="D391" s="1">
        <v>41671</v>
      </c>
    </row>
    <row r="392" spans="1:4" x14ac:dyDescent="0.25">
      <c r="A392" t="s">
        <v>5</v>
      </c>
      <c r="B392" t="s">
        <v>8</v>
      </c>
      <c r="C392">
        <v>91.364329999999995</v>
      </c>
      <c r="D392" s="1">
        <v>41699</v>
      </c>
    </row>
    <row r="393" spans="1:4" x14ac:dyDescent="0.25">
      <c r="A393" t="s">
        <v>5</v>
      </c>
      <c r="B393" t="s">
        <v>8</v>
      </c>
      <c r="C393">
        <v>89.486189999999993</v>
      </c>
      <c r="D393" s="1">
        <v>41730</v>
      </c>
    </row>
    <row r="394" spans="1:4" x14ac:dyDescent="0.25">
      <c r="A394" t="s">
        <v>5</v>
      </c>
      <c r="B394" t="s">
        <v>8</v>
      </c>
      <c r="C394">
        <v>91.409760000000006</v>
      </c>
      <c r="D394" s="1">
        <v>41760</v>
      </c>
    </row>
    <row r="395" spans="1:4" x14ac:dyDescent="0.25">
      <c r="A395" t="s">
        <v>5</v>
      </c>
      <c r="B395" t="s">
        <v>8</v>
      </c>
      <c r="C395">
        <v>93.422389999999993</v>
      </c>
      <c r="D395" s="1">
        <v>41791</v>
      </c>
    </row>
    <row r="396" spans="1:4" x14ac:dyDescent="0.25">
      <c r="A396" t="s">
        <v>5</v>
      </c>
      <c r="B396" t="s">
        <v>8</v>
      </c>
      <c r="C396">
        <v>90.300200000000004</v>
      </c>
      <c r="D396" s="1">
        <v>41821</v>
      </c>
    </row>
    <row r="397" spans="1:4" x14ac:dyDescent="0.25">
      <c r="A397" t="s">
        <v>5</v>
      </c>
      <c r="B397" t="s">
        <v>8</v>
      </c>
      <c r="C397">
        <v>90.212729999999993</v>
      </c>
      <c r="D397" s="1">
        <v>41852</v>
      </c>
    </row>
    <row r="398" spans="1:4" x14ac:dyDescent="0.25">
      <c r="A398" t="s">
        <v>5</v>
      </c>
      <c r="B398" t="s">
        <v>8</v>
      </c>
      <c r="C398">
        <v>93.023769999999999</v>
      </c>
      <c r="D398" s="1">
        <v>41883</v>
      </c>
    </row>
    <row r="399" spans="1:4" x14ac:dyDescent="0.25">
      <c r="A399" t="s">
        <v>5</v>
      </c>
      <c r="B399" t="s">
        <v>8</v>
      </c>
      <c r="C399">
        <v>94.42577</v>
      </c>
      <c r="D399" s="1">
        <v>41913</v>
      </c>
    </row>
    <row r="400" spans="1:4" x14ac:dyDescent="0.25">
      <c r="A400" t="s">
        <v>5</v>
      </c>
      <c r="B400" t="s">
        <v>8</v>
      </c>
      <c r="C400">
        <v>94.868930000000006</v>
      </c>
      <c r="D400" s="1">
        <v>41944</v>
      </c>
    </row>
    <row r="401" spans="1:4" x14ac:dyDescent="0.25">
      <c r="A401" t="s">
        <v>5</v>
      </c>
      <c r="B401" t="s">
        <v>8</v>
      </c>
      <c r="C401">
        <v>99.860500000000002</v>
      </c>
      <c r="D401" s="1">
        <v>41974</v>
      </c>
    </row>
    <row r="402" spans="1:4" x14ac:dyDescent="0.25">
      <c r="A402" t="s">
        <v>5</v>
      </c>
      <c r="B402" t="s">
        <v>8</v>
      </c>
      <c r="C402">
        <v>89.912869999999998</v>
      </c>
      <c r="D402" s="1">
        <v>42005</v>
      </c>
    </row>
    <row r="403" spans="1:4" x14ac:dyDescent="0.25">
      <c r="A403" t="s">
        <v>5</v>
      </c>
      <c r="B403" t="s">
        <v>8</v>
      </c>
      <c r="C403">
        <v>89.493880000000004</v>
      </c>
      <c r="D403" s="1">
        <v>42036</v>
      </c>
    </row>
    <row r="404" spans="1:4" x14ac:dyDescent="0.25">
      <c r="A404" t="s">
        <v>5</v>
      </c>
      <c r="B404" t="s">
        <v>8</v>
      </c>
      <c r="C404">
        <v>96.144490000000005</v>
      </c>
      <c r="D404" s="1">
        <v>42064</v>
      </c>
    </row>
    <row r="405" spans="1:4" x14ac:dyDescent="0.25">
      <c r="A405" t="s">
        <v>5</v>
      </c>
      <c r="B405" t="s">
        <v>8</v>
      </c>
      <c r="C405">
        <v>90.39958</v>
      </c>
      <c r="D405" s="1">
        <v>42095</v>
      </c>
    </row>
    <row r="406" spans="1:4" x14ac:dyDescent="0.25">
      <c r="A406" t="s">
        <v>5</v>
      </c>
      <c r="B406" t="s">
        <v>8</v>
      </c>
      <c r="C406">
        <v>91.825649999999996</v>
      </c>
      <c r="D406" s="1">
        <v>42125</v>
      </c>
    </row>
    <row r="407" spans="1:4" x14ac:dyDescent="0.25">
      <c r="A407" t="s">
        <v>5</v>
      </c>
      <c r="B407" t="s">
        <v>8</v>
      </c>
      <c r="C407">
        <v>92.650739999999999</v>
      </c>
      <c r="D407" s="1">
        <v>42156</v>
      </c>
    </row>
    <row r="408" spans="1:4" x14ac:dyDescent="0.25">
      <c r="A408" t="s">
        <v>5</v>
      </c>
      <c r="B408" t="s">
        <v>8</v>
      </c>
      <c r="C408">
        <v>90.113669999999999</v>
      </c>
      <c r="D408" s="1">
        <v>42186</v>
      </c>
    </row>
    <row r="409" spans="1:4" x14ac:dyDescent="0.25">
      <c r="A409" t="s">
        <v>5</v>
      </c>
      <c r="B409" t="s">
        <v>8</v>
      </c>
      <c r="C409">
        <v>90.414699999999996</v>
      </c>
      <c r="D409" s="1">
        <v>42217</v>
      </c>
    </row>
    <row r="410" spans="1:4" x14ac:dyDescent="0.25">
      <c r="A410" t="s">
        <v>5</v>
      </c>
      <c r="B410" t="s">
        <v>8</v>
      </c>
      <c r="C410">
        <v>92.420069999999996</v>
      </c>
      <c r="D410" s="1">
        <v>42248</v>
      </c>
    </row>
    <row r="411" spans="1:4" x14ac:dyDescent="0.25">
      <c r="A411" t="s">
        <v>5</v>
      </c>
      <c r="B411" t="s">
        <v>8</v>
      </c>
      <c r="C411">
        <v>91.371639999999999</v>
      </c>
      <c r="D411" s="1">
        <v>42278</v>
      </c>
    </row>
    <row r="412" spans="1:4" x14ac:dyDescent="0.25">
      <c r="A412" t="s">
        <v>5</v>
      </c>
      <c r="B412" t="s">
        <v>8</v>
      </c>
      <c r="C412">
        <v>90.794179999999997</v>
      </c>
      <c r="D412" s="1">
        <v>42309</v>
      </c>
    </row>
    <row r="413" spans="1:4" x14ac:dyDescent="0.25">
      <c r="A413" t="s">
        <v>5</v>
      </c>
      <c r="B413" t="s">
        <v>8</v>
      </c>
      <c r="C413">
        <v>99.481160000000003</v>
      </c>
      <c r="D413" s="1">
        <v>42339</v>
      </c>
    </row>
    <row r="414" spans="1:4" x14ac:dyDescent="0.25">
      <c r="A414" t="s">
        <v>5</v>
      </c>
      <c r="B414" t="s">
        <v>8</v>
      </c>
      <c r="C414">
        <v>88.052480000000003</v>
      </c>
      <c r="D414" s="1">
        <v>42370</v>
      </c>
    </row>
    <row r="415" spans="1:4" x14ac:dyDescent="0.25">
      <c r="A415" t="s">
        <v>5</v>
      </c>
      <c r="B415" t="s">
        <v>8</v>
      </c>
      <c r="C415">
        <v>84.938069999999996</v>
      </c>
      <c r="D415" s="1">
        <v>42401</v>
      </c>
    </row>
    <row r="416" spans="1:4" x14ac:dyDescent="0.25">
      <c r="A416" t="s">
        <v>5</v>
      </c>
      <c r="B416" t="s">
        <v>8</v>
      </c>
      <c r="C416">
        <v>90.497439999999997</v>
      </c>
      <c r="D416" s="1">
        <v>42430</v>
      </c>
    </row>
    <row r="417" spans="1:4" x14ac:dyDescent="0.25">
      <c r="A417" t="s">
        <v>5</v>
      </c>
      <c r="B417" t="s">
        <v>8</v>
      </c>
      <c r="C417">
        <v>87.703710000000001</v>
      </c>
      <c r="D417" s="1">
        <v>42461</v>
      </c>
    </row>
    <row r="418" spans="1:4" x14ac:dyDescent="0.25">
      <c r="A418" t="s">
        <v>5</v>
      </c>
      <c r="B418" t="s">
        <v>8</v>
      </c>
      <c r="C418">
        <v>89.42962</v>
      </c>
      <c r="D418" s="1">
        <v>42491</v>
      </c>
    </row>
    <row r="419" spans="1:4" x14ac:dyDescent="0.25">
      <c r="A419" t="s">
        <v>5</v>
      </c>
      <c r="B419" t="s">
        <v>8</v>
      </c>
      <c r="C419">
        <v>91.143079999999998</v>
      </c>
      <c r="D419" s="1">
        <v>42522</v>
      </c>
    </row>
    <row r="420" spans="1:4" x14ac:dyDescent="0.25">
      <c r="A420" t="s">
        <v>5</v>
      </c>
      <c r="B420" t="s">
        <v>8</v>
      </c>
      <c r="C420">
        <v>88.756280000000004</v>
      </c>
      <c r="D420" s="1">
        <v>42552</v>
      </c>
    </row>
    <row r="421" spans="1:4" x14ac:dyDescent="0.25">
      <c r="A421" t="s">
        <v>5</v>
      </c>
      <c r="B421" t="s">
        <v>8</v>
      </c>
      <c r="C421">
        <v>90.217370000000003</v>
      </c>
      <c r="D421" s="1">
        <v>42583</v>
      </c>
    </row>
    <row r="422" spans="1:4" x14ac:dyDescent="0.25">
      <c r="A422" t="s">
        <v>5</v>
      </c>
      <c r="B422" t="s">
        <v>8</v>
      </c>
      <c r="C422">
        <v>90.670249999999996</v>
      </c>
      <c r="D422" s="1">
        <v>42614</v>
      </c>
    </row>
    <row r="423" spans="1:4" x14ac:dyDescent="0.25">
      <c r="A423" t="s">
        <v>5</v>
      </c>
      <c r="B423" t="s">
        <v>8</v>
      </c>
      <c r="C423">
        <v>87.371759999999995</v>
      </c>
      <c r="D423" s="1">
        <v>42644</v>
      </c>
    </row>
    <row r="424" spans="1:4" x14ac:dyDescent="0.25">
      <c r="A424" t="s">
        <v>5</v>
      </c>
      <c r="B424" t="s">
        <v>8</v>
      </c>
      <c r="C424">
        <v>88.061589999999995</v>
      </c>
      <c r="D424" s="1">
        <v>42675</v>
      </c>
    </row>
    <row r="425" spans="1:4" x14ac:dyDescent="0.25">
      <c r="A425" t="s">
        <v>5</v>
      </c>
      <c r="B425" t="s">
        <v>8</v>
      </c>
      <c r="C425">
        <v>92.993690000000001</v>
      </c>
      <c r="D425" s="1">
        <v>42705</v>
      </c>
    </row>
    <row r="426" spans="1:4" x14ac:dyDescent="0.25">
      <c r="A426" t="s">
        <v>5</v>
      </c>
      <c r="B426" t="s">
        <v>8</v>
      </c>
      <c r="C426">
        <v>87.906670000000005</v>
      </c>
      <c r="D426" s="1">
        <v>42736</v>
      </c>
    </row>
    <row r="427" spans="1:4" x14ac:dyDescent="0.25">
      <c r="A427" t="s">
        <v>5</v>
      </c>
      <c r="B427" t="s">
        <v>8</v>
      </c>
      <c r="C427">
        <v>85.332920000000001</v>
      </c>
      <c r="D427" s="1">
        <v>42767</v>
      </c>
    </row>
    <row r="428" spans="1:4" x14ac:dyDescent="0.25">
      <c r="A428" t="s">
        <v>5</v>
      </c>
      <c r="B428" t="s">
        <v>8</v>
      </c>
      <c r="C428">
        <v>88.646739999999994</v>
      </c>
      <c r="D428" s="1">
        <v>42795</v>
      </c>
    </row>
    <row r="429" spans="1:4" x14ac:dyDescent="0.25">
      <c r="A429" t="s">
        <v>5</v>
      </c>
      <c r="B429" t="s">
        <v>8</v>
      </c>
      <c r="C429">
        <v>85.462479999999999</v>
      </c>
      <c r="D429" s="1">
        <v>42826</v>
      </c>
    </row>
    <row r="430" spans="1:4" x14ac:dyDescent="0.25">
      <c r="A430" t="s">
        <v>5</v>
      </c>
      <c r="B430" t="s">
        <v>8</v>
      </c>
      <c r="C430">
        <v>86.906869999999998</v>
      </c>
      <c r="D430" s="1">
        <v>42856</v>
      </c>
    </row>
    <row r="431" spans="1:4" x14ac:dyDescent="0.25">
      <c r="A431" t="s">
        <v>5</v>
      </c>
      <c r="B431" t="s">
        <v>8</v>
      </c>
      <c r="C431">
        <v>88.62021</v>
      </c>
      <c r="D431" s="1">
        <v>42887</v>
      </c>
    </row>
    <row r="432" spans="1:4" x14ac:dyDescent="0.25">
      <c r="A432" t="s">
        <v>5</v>
      </c>
      <c r="B432" t="s">
        <v>8</v>
      </c>
      <c r="C432">
        <v>85.138859999999994</v>
      </c>
      <c r="D432" s="1">
        <v>42917</v>
      </c>
    </row>
    <row r="433" spans="1:4" x14ac:dyDescent="0.25">
      <c r="A433" t="s">
        <v>5</v>
      </c>
      <c r="B433" t="s">
        <v>8</v>
      </c>
      <c r="C433">
        <v>87.103170000000006</v>
      </c>
      <c r="D433" s="1">
        <v>42948</v>
      </c>
    </row>
    <row r="434" spans="1:4" x14ac:dyDescent="0.25">
      <c r="A434" t="s">
        <v>5</v>
      </c>
      <c r="B434" t="s">
        <v>8</v>
      </c>
      <c r="C434">
        <v>85.442589999999996</v>
      </c>
      <c r="D434" s="1">
        <v>42979</v>
      </c>
    </row>
    <row r="435" spans="1:4" x14ac:dyDescent="0.25">
      <c r="A435" t="s">
        <v>5</v>
      </c>
      <c r="B435" t="s">
        <v>8</v>
      </c>
      <c r="C435">
        <v>85.393720000000002</v>
      </c>
      <c r="D435" s="1">
        <v>43009</v>
      </c>
    </row>
    <row r="436" spans="1:4" x14ac:dyDescent="0.25">
      <c r="A436" t="s">
        <v>5</v>
      </c>
      <c r="B436" t="s">
        <v>8</v>
      </c>
      <c r="C436">
        <v>87.379249999999999</v>
      </c>
      <c r="D436" s="1">
        <v>43040</v>
      </c>
    </row>
    <row r="437" spans="1:4" x14ac:dyDescent="0.25">
      <c r="A437" t="s">
        <v>5</v>
      </c>
      <c r="B437" t="s">
        <v>8</v>
      </c>
      <c r="C437">
        <v>95.103930000000005</v>
      </c>
      <c r="D437" s="1">
        <v>43070</v>
      </c>
    </row>
    <row r="438" spans="1:4" x14ac:dyDescent="0.25">
      <c r="A438" t="s">
        <v>5</v>
      </c>
      <c r="B438" t="s">
        <v>8</v>
      </c>
      <c r="C438">
        <v>83.538979999999995</v>
      </c>
      <c r="D438" s="1">
        <v>43101</v>
      </c>
    </row>
    <row r="439" spans="1:4" x14ac:dyDescent="0.25">
      <c r="A439" t="s">
        <v>5</v>
      </c>
      <c r="B439" t="s">
        <v>8</v>
      </c>
      <c r="C439">
        <v>80.85342</v>
      </c>
      <c r="D439" s="1">
        <v>43132</v>
      </c>
    </row>
    <row r="440" spans="1:4" x14ac:dyDescent="0.25">
      <c r="A440" t="s">
        <v>5</v>
      </c>
      <c r="B440" t="s">
        <v>8</v>
      </c>
      <c r="C440">
        <v>87.838890000000006</v>
      </c>
      <c r="D440" s="1">
        <v>43160</v>
      </c>
    </row>
    <row r="441" spans="1:4" x14ac:dyDescent="0.25">
      <c r="A441" t="s">
        <v>5</v>
      </c>
      <c r="B441" t="s">
        <v>8</v>
      </c>
      <c r="C441">
        <v>84.519540000000006</v>
      </c>
      <c r="D441" s="1">
        <v>43191</v>
      </c>
    </row>
    <row r="442" spans="1:4" x14ac:dyDescent="0.25">
      <c r="A442" t="s">
        <v>5</v>
      </c>
      <c r="B442" t="s">
        <v>8</v>
      </c>
      <c r="C442">
        <v>85.662469999999999</v>
      </c>
      <c r="D442" s="1">
        <v>43221</v>
      </c>
    </row>
    <row r="443" spans="1:4" x14ac:dyDescent="0.25">
      <c r="A443" t="s">
        <v>5</v>
      </c>
      <c r="B443" t="s">
        <v>8</v>
      </c>
      <c r="C443">
        <v>89.902780000000007</v>
      </c>
      <c r="D443" s="1">
        <v>43252</v>
      </c>
    </row>
    <row r="444" spans="1:4" x14ac:dyDescent="0.25">
      <c r="A444" t="s">
        <v>5</v>
      </c>
      <c r="B444" t="s">
        <v>8</v>
      </c>
      <c r="C444">
        <v>85.212879999999998</v>
      </c>
      <c r="D444" s="1">
        <v>43282</v>
      </c>
    </row>
    <row r="445" spans="1:4" x14ac:dyDescent="0.25">
      <c r="A445" t="s">
        <v>5</v>
      </c>
      <c r="B445" t="s">
        <v>8</v>
      </c>
      <c r="C445">
        <v>86.127709999999993</v>
      </c>
      <c r="D445" s="1">
        <v>43313</v>
      </c>
    </row>
    <row r="446" spans="1:4" x14ac:dyDescent="0.25">
      <c r="A446" t="s">
        <v>5</v>
      </c>
      <c r="B446" t="s">
        <v>8</v>
      </c>
      <c r="C446">
        <v>87.531049999999993</v>
      </c>
      <c r="D446" s="1">
        <v>43344</v>
      </c>
    </row>
    <row r="447" spans="1:4" x14ac:dyDescent="0.25">
      <c r="A447" t="s">
        <v>5</v>
      </c>
      <c r="B447" t="s">
        <v>8</v>
      </c>
      <c r="C447">
        <v>86.594480000000004</v>
      </c>
      <c r="D447" s="1">
        <v>43374</v>
      </c>
    </row>
    <row r="448" spans="1:4" x14ac:dyDescent="0.25">
      <c r="A448" t="s">
        <v>5</v>
      </c>
      <c r="B448" t="s">
        <v>8</v>
      </c>
      <c r="C448">
        <v>88.445750000000004</v>
      </c>
      <c r="D448" s="1">
        <v>43405</v>
      </c>
    </row>
    <row r="449" spans="1:4" x14ac:dyDescent="0.25">
      <c r="A449" t="s">
        <v>5</v>
      </c>
      <c r="B449" t="s">
        <v>8</v>
      </c>
      <c r="C449">
        <v>97.756649999999993</v>
      </c>
      <c r="D449" s="1">
        <v>43435</v>
      </c>
    </row>
    <row r="450" spans="1:4" x14ac:dyDescent="0.25">
      <c r="A450" t="s">
        <v>5</v>
      </c>
      <c r="B450" t="s">
        <v>8</v>
      </c>
      <c r="C450">
        <v>86.359989999999996</v>
      </c>
      <c r="D450" s="1">
        <v>43466</v>
      </c>
    </row>
    <row r="451" spans="1:4" x14ac:dyDescent="0.25">
      <c r="A451" t="s">
        <v>5</v>
      </c>
      <c r="B451" t="s">
        <v>8</v>
      </c>
      <c r="C451">
        <v>85.829409999999996</v>
      </c>
      <c r="D451" s="1">
        <v>43497</v>
      </c>
    </row>
    <row r="452" spans="1:4" x14ac:dyDescent="0.25">
      <c r="A452" t="s">
        <v>5</v>
      </c>
      <c r="B452" t="s">
        <v>8</v>
      </c>
      <c r="C452">
        <v>88.415509999999998</v>
      </c>
      <c r="D452" s="1">
        <v>43525</v>
      </c>
    </row>
    <row r="453" spans="1:4" x14ac:dyDescent="0.25">
      <c r="A453" t="s">
        <v>5</v>
      </c>
      <c r="B453" t="s">
        <v>8</v>
      </c>
      <c r="C453">
        <v>86.327749999999995</v>
      </c>
      <c r="D453" s="1">
        <v>43556</v>
      </c>
    </row>
    <row r="454" spans="1:4" x14ac:dyDescent="0.25">
      <c r="A454" t="s">
        <v>5</v>
      </c>
      <c r="B454" t="s">
        <v>8</v>
      </c>
      <c r="C454">
        <v>89.813730000000007</v>
      </c>
      <c r="D454" s="1">
        <v>43586</v>
      </c>
    </row>
    <row r="455" spans="1:4" x14ac:dyDescent="0.25">
      <c r="A455" t="s">
        <v>5</v>
      </c>
      <c r="B455" t="s">
        <v>8</v>
      </c>
      <c r="C455">
        <v>89.048310000000001</v>
      </c>
      <c r="D455" s="1">
        <v>43617</v>
      </c>
    </row>
    <row r="456" spans="1:4" x14ac:dyDescent="0.25">
      <c r="A456" t="s">
        <v>5</v>
      </c>
      <c r="B456" t="s">
        <v>8</v>
      </c>
      <c r="C456">
        <v>88.404929999999993</v>
      </c>
      <c r="D456" s="1">
        <v>43647</v>
      </c>
    </row>
    <row r="457" spans="1:4" x14ac:dyDescent="0.25">
      <c r="A457" t="s">
        <v>5</v>
      </c>
      <c r="B457" t="s">
        <v>8</v>
      </c>
      <c r="C457">
        <v>90.114130000000003</v>
      </c>
      <c r="D457" s="1">
        <v>43678</v>
      </c>
    </row>
    <row r="458" spans="1:4" x14ac:dyDescent="0.25">
      <c r="A458" t="s">
        <v>5</v>
      </c>
      <c r="B458" t="s">
        <v>8</v>
      </c>
      <c r="C458">
        <v>89.829819999999998</v>
      </c>
      <c r="D458" s="1">
        <v>43709</v>
      </c>
    </row>
    <row r="459" spans="1:4" x14ac:dyDescent="0.25">
      <c r="A459" t="s">
        <v>5</v>
      </c>
      <c r="B459" t="s">
        <v>8</v>
      </c>
      <c r="C459">
        <v>91.012889999999999</v>
      </c>
      <c r="D459" s="1">
        <v>43739</v>
      </c>
    </row>
    <row r="460" spans="1:4" x14ac:dyDescent="0.25">
      <c r="A460" t="s">
        <v>5</v>
      </c>
      <c r="B460" t="s">
        <v>8</v>
      </c>
      <c r="C460">
        <v>91.910870000000003</v>
      </c>
      <c r="D460" s="1">
        <v>43770</v>
      </c>
    </row>
    <row r="461" spans="1:4" x14ac:dyDescent="0.25">
      <c r="A461" t="s">
        <v>5</v>
      </c>
      <c r="B461" t="s">
        <v>8</v>
      </c>
      <c r="C461">
        <v>100.80436</v>
      </c>
      <c r="D461" s="1">
        <v>43800</v>
      </c>
    </row>
    <row r="462" spans="1:4" x14ac:dyDescent="0.25">
      <c r="A462" t="s">
        <v>5</v>
      </c>
      <c r="B462" t="s">
        <v>8</v>
      </c>
      <c r="C462">
        <v>88.074449999999999</v>
      </c>
      <c r="D462" s="1">
        <v>43831</v>
      </c>
    </row>
    <row r="463" spans="1:4" x14ac:dyDescent="0.25">
      <c r="A463" t="s">
        <v>5</v>
      </c>
      <c r="B463" t="s">
        <v>8</v>
      </c>
      <c r="C463">
        <v>85.512410000000003</v>
      </c>
      <c r="D463" s="1">
        <v>43862</v>
      </c>
    </row>
    <row r="464" spans="1:4" x14ac:dyDescent="0.25">
      <c r="A464" t="s">
        <v>5</v>
      </c>
      <c r="B464" t="s">
        <v>8</v>
      </c>
      <c r="C464">
        <v>88.198679999999996</v>
      </c>
      <c r="D464" s="1">
        <v>43891</v>
      </c>
    </row>
    <row r="465" spans="1:4" x14ac:dyDescent="0.25">
      <c r="A465" t="s">
        <v>5</v>
      </c>
      <c r="B465" t="s">
        <v>8</v>
      </c>
      <c r="C465">
        <v>82.279169999999993</v>
      </c>
      <c r="D465" s="1">
        <v>43922</v>
      </c>
    </row>
    <row r="466" spans="1:4" x14ac:dyDescent="0.25">
      <c r="A466" t="s">
        <v>5</v>
      </c>
      <c r="B466" t="s">
        <v>8</v>
      </c>
      <c r="C466">
        <v>81.808819999999997</v>
      </c>
      <c r="D466" s="1">
        <v>43952</v>
      </c>
    </row>
    <row r="467" spans="1:4" x14ac:dyDescent="0.25">
      <c r="A467" t="s">
        <v>5</v>
      </c>
      <c r="B467" t="s">
        <v>8</v>
      </c>
      <c r="C467">
        <v>86.374989999999997</v>
      </c>
      <c r="D467" s="1">
        <v>43983</v>
      </c>
    </row>
    <row r="468" spans="1:4" x14ac:dyDescent="0.25">
      <c r="A468" t="s">
        <v>5</v>
      </c>
      <c r="B468" t="s">
        <v>8</v>
      </c>
      <c r="C468">
        <v>86.221010000000007</v>
      </c>
      <c r="D468" s="1">
        <v>44013</v>
      </c>
    </row>
    <row r="469" spans="1:4" x14ac:dyDescent="0.25">
      <c r="A469" t="s">
        <v>5</v>
      </c>
      <c r="B469" t="s">
        <v>8</v>
      </c>
      <c r="C469">
        <v>86.496440000000007</v>
      </c>
      <c r="D469" s="1">
        <v>44044</v>
      </c>
    </row>
    <row r="470" spans="1:4" x14ac:dyDescent="0.25">
      <c r="A470" t="s">
        <v>5</v>
      </c>
      <c r="B470" t="s">
        <v>8</v>
      </c>
      <c r="C470">
        <v>89.070899999999995</v>
      </c>
      <c r="D470" s="1">
        <v>44075</v>
      </c>
    </row>
    <row r="471" spans="1:4" x14ac:dyDescent="0.25">
      <c r="A471" t="s">
        <v>5</v>
      </c>
      <c r="B471" t="s">
        <v>8</v>
      </c>
      <c r="C471">
        <v>90.970389999999995</v>
      </c>
      <c r="D471" s="1">
        <v>44105</v>
      </c>
    </row>
    <row r="472" spans="1:4" x14ac:dyDescent="0.25">
      <c r="A472" t="s">
        <v>5</v>
      </c>
      <c r="B472" t="s">
        <v>8</v>
      </c>
      <c r="C472">
        <v>93.07132</v>
      </c>
      <c r="D472" s="1">
        <v>44136</v>
      </c>
    </row>
    <row r="473" spans="1:4" x14ac:dyDescent="0.25">
      <c r="A473" t="s">
        <v>5</v>
      </c>
      <c r="B473" t="s">
        <v>8</v>
      </c>
      <c r="C473">
        <v>102.62204</v>
      </c>
      <c r="D473" s="1">
        <v>44166</v>
      </c>
    </row>
    <row r="474" spans="1:4" x14ac:dyDescent="0.25">
      <c r="A474" t="s">
        <v>5</v>
      </c>
      <c r="B474" t="s">
        <v>8</v>
      </c>
      <c r="C474">
        <v>89.433539999999994</v>
      </c>
      <c r="D474" s="1">
        <v>44197</v>
      </c>
    </row>
    <row r="475" spans="1:4" x14ac:dyDescent="0.25">
      <c r="A475" t="s">
        <v>5</v>
      </c>
      <c r="B475" t="s">
        <v>8</v>
      </c>
      <c r="C475">
        <v>87.840209999999999</v>
      </c>
      <c r="D475" s="1">
        <v>44228</v>
      </c>
    </row>
    <row r="476" spans="1:4" x14ac:dyDescent="0.25">
      <c r="A476" t="s">
        <v>5</v>
      </c>
      <c r="B476" t="s">
        <v>8</v>
      </c>
      <c r="C476">
        <v>93.794079999999994</v>
      </c>
      <c r="D476" s="1">
        <v>44256</v>
      </c>
    </row>
    <row r="477" spans="1:4" x14ac:dyDescent="0.25">
      <c r="A477" t="s">
        <v>5</v>
      </c>
      <c r="B477" t="s">
        <v>8</v>
      </c>
      <c r="C477">
        <v>92.800259999999994</v>
      </c>
      <c r="D477" s="1">
        <v>44287</v>
      </c>
    </row>
    <row r="478" spans="1:4" x14ac:dyDescent="0.25">
      <c r="A478" t="s">
        <v>5</v>
      </c>
      <c r="B478" t="s">
        <v>8</v>
      </c>
      <c r="C478">
        <v>93.378720000000001</v>
      </c>
      <c r="D478" s="1">
        <v>44317</v>
      </c>
    </row>
    <row r="479" spans="1:4" x14ac:dyDescent="0.25">
      <c r="A479" t="s">
        <v>5</v>
      </c>
      <c r="B479" t="s">
        <v>8</v>
      </c>
      <c r="C479">
        <v>98.327629999999999</v>
      </c>
      <c r="D479" s="1">
        <v>44348</v>
      </c>
    </row>
    <row r="480" spans="1:4" x14ac:dyDescent="0.25">
      <c r="A480" t="s">
        <v>5</v>
      </c>
      <c r="B480" t="s">
        <v>8</v>
      </c>
      <c r="C480">
        <v>95.844269999999995</v>
      </c>
      <c r="D480" s="1">
        <v>44378</v>
      </c>
    </row>
    <row r="481" spans="1:4" x14ac:dyDescent="0.25">
      <c r="A481" t="s">
        <v>5</v>
      </c>
      <c r="B481" t="s">
        <v>8</v>
      </c>
      <c r="C481">
        <v>98.282210000000006</v>
      </c>
      <c r="D481" s="1">
        <v>44409</v>
      </c>
    </row>
    <row r="482" spans="1:4" x14ac:dyDescent="0.25">
      <c r="A482" t="s">
        <v>5</v>
      </c>
      <c r="B482" t="s">
        <v>8</v>
      </c>
      <c r="C482">
        <v>98.114540000000005</v>
      </c>
      <c r="D482" s="1">
        <v>44440</v>
      </c>
    </row>
    <row r="483" spans="1:4" x14ac:dyDescent="0.25">
      <c r="A483" t="s">
        <v>5</v>
      </c>
      <c r="B483" t="s">
        <v>8</v>
      </c>
      <c r="C483">
        <v>96.767399999999995</v>
      </c>
      <c r="D483" s="1">
        <v>44470</v>
      </c>
    </row>
    <row r="484" spans="1:4" x14ac:dyDescent="0.25">
      <c r="A484" t="s">
        <v>5</v>
      </c>
      <c r="B484" t="s">
        <v>8</v>
      </c>
      <c r="C484">
        <v>103.51152999999999</v>
      </c>
      <c r="D484" s="1">
        <v>44501</v>
      </c>
    </row>
    <row r="485" spans="1:4" x14ac:dyDescent="0.25">
      <c r="A485" t="s">
        <v>5</v>
      </c>
      <c r="B485" t="s">
        <v>8</v>
      </c>
      <c r="C485">
        <v>113.05166</v>
      </c>
      <c r="D485" s="1">
        <v>44531</v>
      </c>
    </row>
    <row r="486" spans="1:4" x14ac:dyDescent="0.25">
      <c r="A486" t="s">
        <v>5</v>
      </c>
      <c r="B486" t="s">
        <v>8</v>
      </c>
      <c r="C486">
        <v>93.926090000000002</v>
      </c>
      <c r="D486" s="1">
        <v>44562</v>
      </c>
    </row>
    <row r="487" spans="1:4" x14ac:dyDescent="0.25">
      <c r="A487" t="s">
        <v>5</v>
      </c>
      <c r="B487" t="s">
        <v>8</v>
      </c>
      <c r="C487">
        <v>89.912400000000005</v>
      </c>
      <c r="D487" s="1">
        <v>44593</v>
      </c>
    </row>
    <row r="488" spans="1:4" x14ac:dyDescent="0.25">
      <c r="A488" t="s">
        <v>5</v>
      </c>
      <c r="B488" t="s">
        <v>8</v>
      </c>
      <c r="C488">
        <v>97.457419999999999</v>
      </c>
      <c r="D488" s="1">
        <v>44621</v>
      </c>
    </row>
    <row r="489" spans="1:4" x14ac:dyDescent="0.25">
      <c r="A489" t="s">
        <v>5</v>
      </c>
      <c r="B489" t="s">
        <v>8</v>
      </c>
      <c r="C489">
        <v>94.289199999999994</v>
      </c>
      <c r="D489" s="1">
        <v>44652</v>
      </c>
    </row>
    <row r="490" spans="1:4" x14ac:dyDescent="0.25">
      <c r="A490" t="s">
        <v>5</v>
      </c>
      <c r="B490" t="s">
        <v>8</v>
      </c>
      <c r="C490">
        <v>97.156279999999995</v>
      </c>
      <c r="D490" s="1">
        <v>44682</v>
      </c>
    </row>
    <row r="491" spans="1:4" x14ac:dyDescent="0.25">
      <c r="A491" t="s">
        <v>5</v>
      </c>
      <c r="B491" t="s">
        <v>8</v>
      </c>
      <c r="C491">
        <v>99.168139999999994</v>
      </c>
      <c r="D491" s="1">
        <v>44713</v>
      </c>
    </row>
    <row r="492" spans="1:4" x14ac:dyDescent="0.25">
      <c r="A492" t="s">
        <v>5</v>
      </c>
      <c r="B492" t="s">
        <v>8</v>
      </c>
      <c r="C492">
        <v>97.899720000000002</v>
      </c>
      <c r="D492" s="1">
        <v>44743</v>
      </c>
    </row>
    <row r="493" spans="1:4" x14ac:dyDescent="0.25">
      <c r="A493" t="s">
        <v>5</v>
      </c>
      <c r="B493" t="s">
        <v>8</v>
      </c>
      <c r="C493">
        <v>101.29499</v>
      </c>
      <c r="D493" s="1">
        <v>44774</v>
      </c>
    </row>
    <row r="494" spans="1:4" x14ac:dyDescent="0.25">
      <c r="A494" t="s">
        <v>5</v>
      </c>
      <c r="B494" t="s">
        <v>8</v>
      </c>
      <c r="C494">
        <v>103.96281999999999</v>
      </c>
      <c r="D494" s="1">
        <v>44805</v>
      </c>
    </row>
    <row r="495" spans="1:4" x14ac:dyDescent="0.25">
      <c r="A495" t="s">
        <v>5</v>
      </c>
      <c r="B495" t="s">
        <v>8</v>
      </c>
      <c r="C495">
        <v>104.88599000000001</v>
      </c>
      <c r="D495" s="1">
        <v>44835</v>
      </c>
    </row>
    <row r="496" spans="1:4" x14ac:dyDescent="0.25">
      <c r="A496" t="s">
        <v>5</v>
      </c>
      <c r="B496" t="s">
        <v>8</v>
      </c>
      <c r="C496">
        <v>107.05065999999999</v>
      </c>
      <c r="D496" s="1">
        <v>44866</v>
      </c>
    </row>
    <row r="497" spans="1:4" x14ac:dyDescent="0.25">
      <c r="A497" t="s">
        <v>5</v>
      </c>
      <c r="B497" t="s">
        <v>8</v>
      </c>
      <c r="C497">
        <v>112.99630000000001</v>
      </c>
      <c r="D497" s="1">
        <v>44896</v>
      </c>
    </row>
    <row r="498" spans="1:4" x14ac:dyDescent="0.25">
      <c r="A498" t="s">
        <v>5</v>
      </c>
      <c r="B498" t="s">
        <v>8</v>
      </c>
      <c r="C498">
        <v>97.697249999999997</v>
      </c>
      <c r="D498" s="1">
        <v>44927</v>
      </c>
    </row>
    <row r="499" spans="1:4" x14ac:dyDescent="0.25">
      <c r="A499" t="s">
        <v>5</v>
      </c>
      <c r="B499" t="s">
        <v>8</v>
      </c>
      <c r="C499">
        <v>96.10333</v>
      </c>
      <c r="D499" s="1">
        <v>44958</v>
      </c>
    </row>
    <row r="500" spans="1:4" x14ac:dyDescent="0.25">
      <c r="A500" t="s">
        <v>5</v>
      </c>
      <c r="B500" t="s">
        <v>8</v>
      </c>
      <c r="C500">
        <v>103.90822</v>
      </c>
      <c r="D500" s="1">
        <v>44986</v>
      </c>
    </row>
    <row r="501" spans="1:4" x14ac:dyDescent="0.25">
      <c r="A501" t="s">
        <v>5</v>
      </c>
      <c r="B501" t="s">
        <v>8</v>
      </c>
      <c r="C501">
        <v>98.064850000000007</v>
      </c>
      <c r="D501" s="1">
        <v>45017</v>
      </c>
    </row>
    <row r="502" spans="1:4" x14ac:dyDescent="0.25">
      <c r="A502" t="s">
        <v>5</v>
      </c>
      <c r="B502" t="s">
        <v>8</v>
      </c>
      <c r="C502">
        <v>102.29018000000001</v>
      </c>
      <c r="D502" s="1">
        <v>45047</v>
      </c>
    </row>
    <row r="503" spans="1:4" x14ac:dyDescent="0.25">
      <c r="A503" t="s">
        <v>5</v>
      </c>
      <c r="B503" t="s">
        <v>8</v>
      </c>
      <c r="C503">
        <v>104.95537</v>
      </c>
      <c r="D503" s="1">
        <v>45078</v>
      </c>
    </row>
    <row r="504" spans="1:4" x14ac:dyDescent="0.25">
      <c r="A504" t="s">
        <v>5</v>
      </c>
      <c r="B504" t="s">
        <v>8</v>
      </c>
      <c r="C504">
        <v>102.28916</v>
      </c>
      <c r="D504" s="1">
        <v>45108</v>
      </c>
    </row>
    <row r="505" spans="1:4" x14ac:dyDescent="0.25">
      <c r="A505" t="s">
        <v>5</v>
      </c>
      <c r="B505" t="s">
        <v>8</v>
      </c>
      <c r="C505">
        <v>103.81393</v>
      </c>
      <c r="D505" s="1">
        <v>45139</v>
      </c>
    </row>
    <row r="506" spans="1:4" x14ac:dyDescent="0.25">
      <c r="A506" t="s">
        <v>5</v>
      </c>
      <c r="B506" t="s">
        <v>8</v>
      </c>
      <c r="C506">
        <v>103.54853</v>
      </c>
      <c r="D506" s="1">
        <v>45170</v>
      </c>
    </row>
    <row r="507" spans="1:4" x14ac:dyDescent="0.25">
      <c r="A507" t="s">
        <v>5</v>
      </c>
      <c r="B507" t="s">
        <v>8</v>
      </c>
      <c r="C507">
        <v>104.61451</v>
      </c>
      <c r="D507" s="1">
        <v>45200</v>
      </c>
    </row>
    <row r="508" spans="1:4" x14ac:dyDescent="0.25">
      <c r="A508" t="s">
        <v>5</v>
      </c>
      <c r="B508" t="s">
        <v>8</v>
      </c>
      <c r="C508">
        <v>109.11827</v>
      </c>
      <c r="D508" s="1">
        <v>45231</v>
      </c>
    </row>
    <row r="509" spans="1:4" x14ac:dyDescent="0.25">
      <c r="A509" t="s">
        <v>5</v>
      </c>
      <c r="B509" t="s">
        <v>8</v>
      </c>
      <c r="C509">
        <v>116.82134000000001</v>
      </c>
      <c r="D509" s="1">
        <v>45261</v>
      </c>
    </row>
    <row r="510" spans="1:4" x14ac:dyDescent="0.25">
      <c r="A510" t="s">
        <v>5</v>
      </c>
      <c r="B510" t="s">
        <v>8</v>
      </c>
      <c r="C510">
        <v>103.87416</v>
      </c>
      <c r="D510" s="1">
        <v>45292</v>
      </c>
    </row>
    <row r="511" spans="1:4" x14ac:dyDescent="0.25">
      <c r="A511" t="s">
        <v>5</v>
      </c>
      <c r="B511" t="s">
        <v>8</v>
      </c>
      <c r="C511">
        <v>100.62582999999999</v>
      </c>
      <c r="D511" s="1">
        <v>45323</v>
      </c>
    </row>
    <row r="512" spans="1:4" x14ac:dyDescent="0.25">
      <c r="A512" t="s">
        <v>5</v>
      </c>
      <c r="B512" t="s">
        <v>8</v>
      </c>
      <c r="C512">
        <v>108.49281999999999</v>
      </c>
      <c r="D512" s="1">
        <v>45352</v>
      </c>
    </row>
    <row r="513" spans="1:4" x14ac:dyDescent="0.25">
      <c r="A513" t="s">
        <v>5</v>
      </c>
      <c r="B513" t="s">
        <v>8</v>
      </c>
      <c r="C513">
        <v>105.33583</v>
      </c>
      <c r="D513" s="1">
        <v>45383</v>
      </c>
    </row>
    <row r="514" spans="1:4" x14ac:dyDescent="0.25">
      <c r="A514" t="s">
        <v>5</v>
      </c>
      <c r="B514" t="s">
        <v>8</v>
      </c>
      <c r="C514">
        <v>106.18621</v>
      </c>
      <c r="D514" s="1">
        <v>45413</v>
      </c>
    </row>
    <row r="515" spans="1:4" x14ac:dyDescent="0.25">
      <c r="A515" t="s">
        <v>5</v>
      </c>
      <c r="B515" t="s">
        <v>8</v>
      </c>
      <c r="C515">
        <v>109.52518000000001</v>
      </c>
      <c r="D515" s="1">
        <v>45444</v>
      </c>
    </row>
    <row r="516" spans="1:4" x14ac:dyDescent="0.25">
      <c r="A516" t="s">
        <v>5</v>
      </c>
      <c r="B516" t="s">
        <v>8</v>
      </c>
      <c r="C516">
        <v>111.93313000000001</v>
      </c>
      <c r="D516" s="1">
        <v>45474</v>
      </c>
    </row>
    <row r="517" spans="1:4" x14ac:dyDescent="0.25">
      <c r="A517" t="s">
        <v>5</v>
      </c>
      <c r="B517" t="s">
        <v>8</v>
      </c>
      <c r="C517">
        <v>111.20023999999999</v>
      </c>
      <c r="D517" s="1">
        <v>45505</v>
      </c>
    </row>
    <row r="518" spans="1:4" x14ac:dyDescent="0.25">
      <c r="A518" t="s">
        <v>5</v>
      </c>
      <c r="B518" t="s">
        <v>8</v>
      </c>
      <c r="C518">
        <v>113.27705</v>
      </c>
      <c r="D518" s="1">
        <v>45536</v>
      </c>
    </row>
    <row r="519" spans="1:4" x14ac:dyDescent="0.25">
      <c r="A519" t="s">
        <v>5</v>
      </c>
      <c r="B519" t="s">
        <v>8</v>
      </c>
      <c r="C519">
        <v>111.67604</v>
      </c>
      <c r="D519" s="1">
        <v>45566</v>
      </c>
    </row>
    <row r="520" spans="1:4" x14ac:dyDescent="0.25">
      <c r="A520" t="s">
        <v>5</v>
      </c>
      <c r="B520" t="s">
        <v>8</v>
      </c>
      <c r="C520">
        <v>115.11194</v>
      </c>
      <c r="D520" s="1">
        <v>45597</v>
      </c>
    </row>
    <row r="521" spans="1:4" x14ac:dyDescent="0.25">
      <c r="A521" t="s">
        <v>5</v>
      </c>
      <c r="B521" t="s">
        <v>8</v>
      </c>
      <c r="C521">
        <v>123.22044</v>
      </c>
      <c r="D521" s="1">
        <v>45627</v>
      </c>
    </row>
    <row r="522" spans="1:4" x14ac:dyDescent="0.25">
      <c r="A522" t="s">
        <v>5</v>
      </c>
      <c r="B522" t="s">
        <v>8</v>
      </c>
      <c r="C522">
        <v>110.17434</v>
      </c>
      <c r="D522" s="1">
        <v>45658</v>
      </c>
    </row>
    <row r="523" spans="1:4" x14ac:dyDescent="0.25">
      <c r="A523" t="s">
        <v>5</v>
      </c>
      <c r="B523" t="s">
        <v>8</v>
      </c>
      <c r="C523">
        <v>110.48932000000001</v>
      </c>
      <c r="D523" s="1">
        <v>45689</v>
      </c>
    </row>
    <row r="524" spans="1:4" x14ac:dyDescent="0.25">
      <c r="A524" t="s">
        <v>5</v>
      </c>
      <c r="B524" t="s">
        <v>8</v>
      </c>
      <c r="C524">
        <v>112.66491000000001</v>
      </c>
      <c r="D524" s="1">
        <v>45717</v>
      </c>
    </row>
    <row r="525" spans="1:4" x14ac:dyDescent="0.25">
      <c r="A525" t="s">
        <v>5</v>
      </c>
      <c r="B525" t="s">
        <v>8</v>
      </c>
      <c r="C525">
        <v>110.79613999999999</v>
      </c>
      <c r="D525" s="1">
        <v>45748</v>
      </c>
    </row>
    <row r="526" spans="1:4" x14ac:dyDescent="0.25">
      <c r="A526" t="s">
        <v>5</v>
      </c>
      <c r="B526" t="s">
        <v>8</v>
      </c>
      <c r="C526">
        <v>113.37607</v>
      </c>
      <c r="D526" s="1">
        <v>45778</v>
      </c>
    </row>
    <row r="527" spans="1:4" x14ac:dyDescent="0.25">
      <c r="A527" t="s">
        <v>5</v>
      </c>
      <c r="B527" t="s">
        <v>8</v>
      </c>
      <c r="C527">
        <v>115.877</v>
      </c>
      <c r="D527" s="1">
        <v>45809</v>
      </c>
    </row>
    <row r="528" spans="1:4" x14ac:dyDescent="0.25">
      <c r="A528" t="s">
        <v>5</v>
      </c>
      <c r="B528" t="s">
        <v>8</v>
      </c>
      <c r="C528">
        <v>116.34139</v>
      </c>
      <c r="D528" s="1">
        <v>45839</v>
      </c>
    </row>
    <row r="529" spans="1:4" x14ac:dyDescent="0.25">
      <c r="A529" t="s">
        <v>5</v>
      </c>
      <c r="B529" t="s">
        <v>8</v>
      </c>
      <c r="C529">
        <v>115.00426</v>
      </c>
      <c r="D529" s="1">
        <v>45870</v>
      </c>
    </row>
    <row r="530" spans="1:4" x14ac:dyDescent="0.25">
      <c r="A530" t="s">
        <v>5</v>
      </c>
      <c r="B530" t="s">
        <v>9</v>
      </c>
      <c r="C530">
        <v>101.48199</v>
      </c>
      <c r="D530" s="1">
        <v>40544</v>
      </c>
    </row>
    <row r="531" spans="1:4" x14ac:dyDescent="0.25">
      <c r="A531" t="s">
        <v>5</v>
      </c>
      <c r="B531" t="s">
        <v>9</v>
      </c>
      <c r="C531">
        <v>103.30334999999999</v>
      </c>
      <c r="D531" s="1">
        <v>40575</v>
      </c>
    </row>
    <row r="532" spans="1:4" x14ac:dyDescent="0.25">
      <c r="A532" t="s">
        <v>5</v>
      </c>
      <c r="B532" t="s">
        <v>9</v>
      </c>
      <c r="C532">
        <v>109.70204</v>
      </c>
      <c r="D532" s="1">
        <v>40603</v>
      </c>
    </row>
    <row r="533" spans="1:4" x14ac:dyDescent="0.25">
      <c r="A533" t="s">
        <v>5</v>
      </c>
      <c r="B533" t="s">
        <v>9</v>
      </c>
      <c r="C533">
        <v>108.66972</v>
      </c>
      <c r="D533" s="1">
        <v>40634</v>
      </c>
    </row>
    <row r="534" spans="1:4" x14ac:dyDescent="0.25">
      <c r="A534" t="s">
        <v>5</v>
      </c>
      <c r="B534" t="s">
        <v>9</v>
      </c>
      <c r="C534">
        <v>112.07566</v>
      </c>
      <c r="D534" s="1">
        <v>40664</v>
      </c>
    </row>
    <row r="535" spans="1:4" x14ac:dyDescent="0.25">
      <c r="A535" t="s">
        <v>5</v>
      </c>
      <c r="B535" t="s">
        <v>9</v>
      </c>
      <c r="C535">
        <v>110.654</v>
      </c>
      <c r="D535" s="1">
        <v>40695</v>
      </c>
    </row>
    <row r="536" spans="1:4" x14ac:dyDescent="0.25">
      <c r="A536" t="s">
        <v>5</v>
      </c>
      <c r="B536" t="s">
        <v>9</v>
      </c>
      <c r="C536">
        <v>112.63746</v>
      </c>
      <c r="D536" s="1">
        <v>40725</v>
      </c>
    </row>
    <row r="537" spans="1:4" x14ac:dyDescent="0.25">
      <c r="A537" t="s">
        <v>5</v>
      </c>
      <c r="B537" t="s">
        <v>9</v>
      </c>
      <c r="C537">
        <v>115.17283999999999</v>
      </c>
      <c r="D537" s="1">
        <v>40756</v>
      </c>
    </row>
    <row r="538" spans="1:4" x14ac:dyDescent="0.25">
      <c r="A538" t="s">
        <v>5</v>
      </c>
      <c r="B538" t="s">
        <v>9</v>
      </c>
      <c r="C538">
        <v>113.86852</v>
      </c>
      <c r="D538" s="1">
        <v>40787</v>
      </c>
    </row>
    <row r="539" spans="1:4" x14ac:dyDescent="0.25">
      <c r="A539" t="s">
        <v>5</v>
      </c>
      <c r="B539" t="s">
        <v>9</v>
      </c>
      <c r="C539">
        <v>112.61778</v>
      </c>
      <c r="D539" s="1">
        <v>40817</v>
      </c>
    </row>
    <row r="540" spans="1:4" x14ac:dyDescent="0.25">
      <c r="A540" t="s">
        <v>5</v>
      </c>
      <c r="B540" t="s">
        <v>9</v>
      </c>
      <c r="C540">
        <v>119.55535999999999</v>
      </c>
      <c r="D540" s="1">
        <v>40848</v>
      </c>
    </row>
    <row r="541" spans="1:4" x14ac:dyDescent="0.25">
      <c r="A541" t="s">
        <v>5</v>
      </c>
      <c r="B541" t="s">
        <v>9</v>
      </c>
      <c r="C541">
        <v>131.91139000000001</v>
      </c>
      <c r="D541" s="1">
        <v>40878</v>
      </c>
    </row>
    <row r="542" spans="1:4" x14ac:dyDescent="0.25">
      <c r="A542" t="s">
        <v>5</v>
      </c>
      <c r="B542" t="s">
        <v>9</v>
      </c>
      <c r="C542">
        <v>109.72083000000001</v>
      </c>
      <c r="D542" s="1">
        <v>40909</v>
      </c>
    </row>
    <row r="543" spans="1:4" x14ac:dyDescent="0.25">
      <c r="A543" t="s">
        <v>5</v>
      </c>
      <c r="B543" t="s">
        <v>9</v>
      </c>
      <c r="C543">
        <v>107.509</v>
      </c>
      <c r="D543" s="1">
        <v>40940</v>
      </c>
    </row>
    <row r="544" spans="1:4" x14ac:dyDescent="0.25">
      <c r="A544" t="s">
        <v>5</v>
      </c>
      <c r="B544" t="s">
        <v>9</v>
      </c>
      <c r="C544">
        <v>119.58172999999999</v>
      </c>
      <c r="D544" s="1">
        <v>40969</v>
      </c>
    </row>
    <row r="545" spans="1:4" x14ac:dyDescent="0.25">
      <c r="A545" t="s">
        <v>5</v>
      </c>
      <c r="B545" t="s">
        <v>9</v>
      </c>
      <c r="C545">
        <v>114.11166</v>
      </c>
      <c r="D545" s="1">
        <v>41000</v>
      </c>
    </row>
    <row r="546" spans="1:4" x14ac:dyDescent="0.25">
      <c r="A546" t="s">
        <v>5</v>
      </c>
      <c r="B546" t="s">
        <v>9</v>
      </c>
      <c r="C546">
        <v>118.30074</v>
      </c>
      <c r="D546" s="1">
        <v>41030</v>
      </c>
    </row>
    <row r="547" spans="1:4" x14ac:dyDescent="0.25">
      <c r="A547" t="s">
        <v>5</v>
      </c>
      <c r="B547" t="s">
        <v>9</v>
      </c>
      <c r="C547">
        <v>116.75896</v>
      </c>
      <c r="D547" s="1">
        <v>41061</v>
      </c>
    </row>
    <row r="548" spans="1:4" x14ac:dyDescent="0.25">
      <c r="A548" t="s">
        <v>5</v>
      </c>
      <c r="B548" t="s">
        <v>9</v>
      </c>
      <c r="C548">
        <v>119.54995</v>
      </c>
      <c r="D548" s="1">
        <v>41091</v>
      </c>
    </row>
    <row r="549" spans="1:4" x14ac:dyDescent="0.25">
      <c r="A549" t="s">
        <v>5</v>
      </c>
      <c r="B549" t="s">
        <v>9</v>
      </c>
      <c r="C549">
        <v>118.83508</v>
      </c>
      <c r="D549" s="1">
        <v>41122</v>
      </c>
    </row>
    <row r="550" spans="1:4" x14ac:dyDescent="0.25">
      <c r="A550" t="s">
        <v>5</v>
      </c>
      <c r="B550" t="s">
        <v>9</v>
      </c>
      <c r="C550">
        <v>115.13236999999999</v>
      </c>
      <c r="D550" s="1">
        <v>41153</v>
      </c>
    </row>
    <row r="551" spans="1:4" x14ac:dyDescent="0.25">
      <c r="A551" t="s">
        <v>5</v>
      </c>
      <c r="B551" t="s">
        <v>9</v>
      </c>
      <c r="C551">
        <v>120.56072</v>
      </c>
      <c r="D551" s="1">
        <v>41183</v>
      </c>
    </row>
    <row r="552" spans="1:4" x14ac:dyDescent="0.25">
      <c r="A552" t="s">
        <v>5</v>
      </c>
      <c r="B552" t="s">
        <v>9</v>
      </c>
      <c r="C552">
        <v>120.37408000000001</v>
      </c>
      <c r="D552" s="1">
        <v>41214</v>
      </c>
    </row>
    <row r="553" spans="1:4" x14ac:dyDescent="0.25">
      <c r="A553" t="s">
        <v>5</v>
      </c>
      <c r="B553" t="s">
        <v>9</v>
      </c>
      <c r="C553">
        <v>133.82919000000001</v>
      </c>
      <c r="D553" s="1">
        <v>41244</v>
      </c>
    </row>
    <row r="554" spans="1:4" x14ac:dyDescent="0.25">
      <c r="A554" t="s">
        <v>5</v>
      </c>
      <c r="B554" t="s">
        <v>9</v>
      </c>
      <c r="C554">
        <v>111.22247</v>
      </c>
      <c r="D554" s="1">
        <v>41275</v>
      </c>
    </row>
    <row r="555" spans="1:4" x14ac:dyDescent="0.25">
      <c r="A555" t="s">
        <v>5</v>
      </c>
      <c r="B555" t="s">
        <v>9</v>
      </c>
      <c r="C555">
        <v>108.65028</v>
      </c>
      <c r="D555" s="1">
        <v>41306</v>
      </c>
    </row>
    <row r="556" spans="1:4" x14ac:dyDescent="0.25">
      <c r="A556" t="s">
        <v>5</v>
      </c>
      <c r="B556" t="s">
        <v>9</v>
      </c>
      <c r="C556">
        <v>114.57084999999999</v>
      </c>
      <c r="D556" s="1">
        <v>41334</v>
      </c>
    </row>
    <row r="557" spans="1:4" x14ac:dyDescent="0.25">
      <c r="A557" t="s">
        <v>5</v>
      </c>
      <c r="B557" t="s">
        <v>9</v>
      </c>
      <c r="C557">
        <v>118.37548</v>
      </c>
      <c r="D557" s="1">
        <v>41365</v>
      </c>
    </row>
    <row r="558" spans="1:4" x14ac:dyDescent="0.25">
      <c r="A558" t="s">
        <v>5</v>
      </c>
      <c r="B558" t="s">
        <v>9</v>
      </c>
      <c r="C558">
        <v>117.39870999999999</v>
      </c>
      <c r="D558" s="1">
        <v>41395</v>
      </c>
    </row>
    <row r="559" spans="1:4" x14ac:dyDescent="0.25">
      <c r="A559" t="s">
        <v>5</v>
      </c>
      <c r="B559" t="s">
        <v>9</v>
      </c>
      <c r="C559">
        <v>116.27216</v>
      </c>
      <c r="D559" s="1">
        <v>41426</v>
      </c>
    </row>
    <row r="560" spans="1:4" x14ac:dyDescent="0.25">
      <c r="A560" t="s">
        <v>5</v>
      </c>
      <c r="B560" t="s">
        <v>9</v>
      </c>
      <c r="C560">
        <v>119.68007</v>
      </c>
      <c r="D560" s="1">
        <v>41456</v>
      </c>
    </row>
    <row r="561" spans="1:4" x14ac:dyDescent="0.25">
      <c r="A561" t="s">
        <v>5</v>
      </c>
      <c r="B561" t="s">
        <v>9</v>
      </c>
      <c r="C561">
        <v>116.39653</v>
      </c>
      <c r="D561" s="1">
        <v>41487</v>
      </c>
    </row>
    <row r="562" spans="1:4" x14ac:dyDescent="0.25">
      <c r="A562" t="s">
        <v>5</v>
      </c>
      <c r="B562" t="s">
        <v>9</v>
      </c>
      <c r="C562">
        <v>116.17283</v>
      </c>
      <c r="D562" s="1">
        <v>41518</v>
      </c>
    </row>
    <row r="563" spans="1:4" x14ac:dyDescent="0.25">
      <c r="A563" t="s">
        <v>5</v>
      </c>
      <c r="B563" t="s">
        <v>9</v>
      </c>
      <c r="C563">
        <v>119.17744</v>
      </c>
      <c r="D563" s="1">
        <v>41548</v>
      </c>
    </row>
    <row r="564" spans="1:4" x14ac:dyDescent="0.25">
      <c r="A564" t="s">
        <v>5</v>
      </c>
      <c r="B564" t="s">
        <v>9</v>
      </c>
      <c r="C564">
        <v>121.63881000000001</v>
      </c>
      <c r="D564" s="1">
        <v>41579</v>
      </c>
    </row>
    <row r="565" spans="1:4" x14ac:dyDescent="0.25">
      <c r="A565" t="s">
        <v>5</v>
      </c>
      <c r="B565" t="s">
        <v>9</v>
      </c>
      <c r="C565">
        <v>131.98163</v>
      </c>
      <c r="D565" s="1">
        <v>41609</v>
      </c>
    </row>
    <row r="566" spans="1:4" x14ac:dyDescent="0.25">
      <c r="A566" t="s">
        <v>5</v>
      </c>
      <c r="B566" t="s">
        <v>9</v>
      </c>
      <c r="C566">
        <v>112.06854</v>
      </c>
      <c r="D566" s="1">
        <v>41640</v>
      </c>
    </row>
    <row r="567" spans="1:4" x14ac:dyDescent="0.25">
      <c r="A567" t="s">
        <v>5</v>
      </c>
      <c r="B567" t="s">
        <v>9</v>
      </c>
      <c r="C567">
        <v>109.95158000000001</v>
      </c>
      <c r="D567" s="1">
        <v>41671</v>
      </c>
    </row>
    <row r="568" spans="1:4" x14ac:dyDescent="0.25">
      <c r="A568" t="s">
        <v>5</v>
      </c>
      <c r="B568" t="s">
        <v>9</v>
      </c>
      <c r="C568">
        <v>114.65709</v>
      </c>
      <c r="D568" s="1">
        <v>41699</v>
      </c>
    </row>
    <row r="569" spans="1:4" x14ac:dyDescent="0.25">
      <c r="A569" t="s">
        <v>5</v>
      </c>
      <c r="B569" t="s">
        <v>9</v>
      </c>
      <c r="C569">
        <v>114.61832</v>
      </c>
      <c r="D569" s="1">
        <v>41730</v>
      </c>
    </row>
    <row r="570" spans="1:4" x14ac:dyDescent="0.25">
      <c r="A570" t="s">
        <v>5</v>
      </c>
      <c r="B570" t="s">
        <v>9</v>
      </c>
      <c r="C570">
        <v>116.8005</v>
      </c>
      <c r="D570" s="1">
        <v>41760</v>
      </c>
    </row>
    <row r="571" spans="1:4" x14ac:dyDescent="0.25">
      <c r="A571" t="s">
        <v>5</v>
      </c>
      <c r="B571" t="s">
        <v>9</v>
      </c>
      <c r="C571">
        <v>114.35296</v>
      </c>
      <c r="D571" s="1">
        <v>41791</v>
      </c>
    </row>
    <row r="572" spans="1:4" x14ac:dyDescent="0.25">
      <c r="A572" t="s">
        <v>5</v>
      </c>
      <c r="B572" t="s">
        <v>9</v>
      </c>
      <c r="C572">
        <v>118.4748</v>
      </c>
      <c r="D572" s="1">
        <v>41821</v>
      </c>
    </row>
    <row r="573" spans="1:4" x14ac:dyDescent="0.25">
      <c r="A573" t="s">
        <v>5</v>
      </c>
      <c r="B573" t="s">
        <v>9</v>
      </c>
      <c r="C573">
        <v>115.87853</v>
      </c>
      <c r="D573" s="1">
        <v>41852</v>
      </c>
    </row>
    <row r="574" spans="1:4" x14ac:dyDescent="0.25">
      <c r="A574" t="s">
        <v>5</v>
      </c>
      <c r="B574" t="s">
        <v>9</v>
      </c>
      <c r="C574">
        <v>119.05839</v>
      </c>
      <c r="D574" s="1">
        <v>41883</v>
      </c>
    </row>
    <row r="575" spans="1:4" x14ac:dyDescent="0.25">
      <c r="A575" t="s">
        <v>5</v>
      </c>
      <c r="B575" t="s">
        <v>9</v>
      </c>
      <c r="C575">
        <v>122.52574</v>
      </c>
      <c r="D575" s="1">
        <v>41913</v>
      </c>
    </row>
    <row r="576" spans="1:4" x14ac:dyDescent="0.25">
      <c r="A576" t="s">
        <v>5</v>
      </c>
      <c r="B576" t="s">
        <v>9</v>
      </c>
      <c r="C576">
        <v>119.96576</v>
      </c>
      <c r="D576" s="1">
        <v>41944</v>
      </c>
    </row>
    <row r="577" spans="1:4" x14ac:dyDescent="0.25">
      <c r="A577" t="s">
        <v>5</v>
      </c>
      <c r="B577" t="s">
        <v>9</v>
      </c>
      <c r="C577">
        <v>135.69248999999999</v>
      </c>
      <c r="D577" s="1">
        <v>41974</v>
      </c>
    </row>
    <row r="578" spans="1:4" x14ac:dyDescent="0.25">
      <c r="A578" t="s">
        <v>5</v>
      </c>
      <c r="B578" t="s">
        <v>9</v>
      </c>
      <c r="C578">
        <v>109.41358</v>
      </c>
      <c r="D578" s="1">
        <v>42005</v>
      </c>
    </row>
    <row r="579" spans="1:4" x14ac:dyDescent="0.25">
      <c r="A579" t="s">
        <v>5</v>
      </c>
      <c r="B579" t="s">
        <v>9</v>
      </c>
      <c r="C579">
        <v>105.45135000000001</v>
      </c>
      <c r="D579" s="1">
        <v>42036</v>
      </c>
    </row>
    <row r="580" spans="1:4" x14ac:dyDescent="0.25">
      <c r="A580" t="s">
        <v>5</v>
      </c>
      <c r="B580" t="s">
        <v>9</v>
      </c>
      <c r="C580">
        <v>115.69394</v>
      </c>
      <c r="D580" s="1">
        <v>42064</v>
      </c>
    </row>
    <row r="581" spans="1:4" x14ac:dyDescent="0.25">
      <c r="A581" t="s">
        <v>5</v>
      </c>
      <c r="B581" t="s">
        <v>9</v>
      </c>
      <c r="C581">
        <v>113.20108</v>
      </c>
      <c r="D581" s="1">
        <v>42095</v>
      </c>
    </row>
    <row r="582" spans="1:4" x14ac:dyDescent="0.25">
      <c r="A582" t="s">
        <v>5</v>
      </c>
      <c r="B582" t="s">
        <v>9</v>
      </c>
      <c r="C582">
        <v>114.00776999999999</v>
      </c>
      <c r="D582" s="1">
        <v>42125</v>
      </c>
    </row>
    <row r="583" spans="1:4" x14ac:dyDescent="0.25">
      <c r="A583" t="s">
        <v>5</v>
      </c>
      <c r="B583" t="s">
        <v>9</v>
      </c>
      <c r="C583">
        <v>112.88484</v>
      </c>
      <c r="D583" s="1">
        <v>42156</v>
      </c>
    </row>
    <row r="584" spans="1:4" x14ac:dyDescent="0.25">
      <c r="A584" t="s">
        <v>5</v>
      </c>
      <c r="B584" t="s">
        <v>9</v>
      </c>
      <c r="C584">
        <v>113.90226</v>
      </c>
      <c r="D584" s="1">
        <v>42186</v>
      </c>
    </row>
    <row r="585" spans="1:4" x14ac:dyDescent="0.25">
      <c r="A585" t="s">
        <v>5</v>
      </c>
      <c r="B585" t="s">
        <v>9</v>
      </c>
      <c r="C585">
        <v>110.02291</v>
      </c>
      <c r="D585" s="1">
        <v>42217</v>
      </c>
    </row>
    <row r="586" spans="1:4" x14ac:dyDescent="0.25">
      <c r="A586" t="s">
        <v>5</v>
      </c>
      <c r="B586" t="s">
        <v>9</v>
      </c>
      <c r="C586">
        <v>109.3964</v>
      </c>
      <c r="D586" s="1">
        <v>42248</v>
      </c>
    </row>
    <row r="587" spans="1:4" x14ac:dyDescent="0.25">
      <c r="A587" t="s">
        <v>5</v>
      </c>
      <c r="B587" t="s">
        <v>9</v>
      </c>
      <c r="C587">
        <v>113.59157999999999</v>
      </c>
      <c r="D587" s="1">
        <v>42278</v>
      </c>
    </row>
    <row r="588" spans="1:4" x14ac:dyDescent="0.25">
      <c r="A588" t="s">
        <v>5</v>
      </c>
      <c r="B588" t="s">
        <v>9</v>
      </c>
      <c r="C588">
        <v>111.98497</v>
      </c>
      <c r="D588" s="1">
        <v>42309</v>
      </c>
    </row>
    <row r="589" spans="1:4" x14ac:dyDescent="0.25">
      <c r="A589" t="s">
        <v>5</v>
      </c>
      <c r="B589" t="s">
        <v>9</v>
      </c>
      <c r="C589">
        <v>123.80345</v>
      </c>
      <c r="D589" s="1">
        <v>42339</v>
      </c>
    </row>
    <row r="590" spans="1:4" x14ac:dyDescent="0.25">
      <c r="A590" t="s">
        <v>5</v>
      </c>
      <c r="B590" t="s">
        <v>9</v>
      </c>
      <c r="C590">
        <v>99.451949999999997</v>
      </c>
      <c r="D590" s="1">
        <v>42370</v>
      </c>
    </row>
    <row r="591" spans="1:4" x14ac:dyDescent="0.25">
      <c r="A591" t="s">
        <v>5</v>
      </c>
      <c r="B591" t="s">
        <v>9</v>
      </c>
      <c r="C591">
        <v>100.94571999999999</v>
      </c>
      <c r="D591" s="1">
        <v>42401</v>
      </c>
    </row>
    <row r="592" spans="1:4" x14ac:dyDescent="0.25">
      <c r="A592" t="s">
        <v>5</v>
      </c>
      <c r="B592" t="s">
        <v>9</v>
      </c>
      <c r="C592">
        <v>107.81401</v>
      </c>
      <c r="D592" s="1">
        <v>42430</v>
      </c>
    </row>
    <row r="593" spans="1:4" x14ac:dyDescent="0.25">
      <c r="A593" t="s">
        <v>5</v>
      </c>
      <c r="B593" t="s">
        <v>9</v>
      </c>
      <c r="C593">
        <v>107.13748</v>
      </c>
      <c r="D593" s="1">
        <v>42461</v>
      </c>
    </row>
    <row r="594" spans="1:4" x14ac:dyDescent="0.25">
      <c r="A594" t="s">
        <v>5</v>
      </c>
      <c r="B594" t="s">
        <v>9</v>
      </c>
      <c r="C594">
        <v>105.16628</v>
      </c>
      <c r="D594" s="1">
        <v>42491</v>
      </c>
    </row>
    <row r="595" spans="1:4" x14ac:dyDescent="0.25">
      <c r="A595" t="s">
        <v>5</v>
      </c>
      <c r="B595" t="s">
        <v>9</v>
      </c>
      <c r="C595">
        <v>106.25230999999999</v>
      </c>
      <c r="D595" s="1">
        <v>42522</v>
      </c>
    </row>
    <row r="596" spans="1:4" x14ac:dyDescent="0.25">
      <c r="A596" t="s">
        <v>5</v>
      </c>
      <c r="B596" t="s">
        <v>9</v>
      </c>
      <c r="C596">
        <v>108.20851999999999</v>
      </c>
      <c r="D596" s="1">
        <v>42552</v>
      </c>
    </row>
    <row r="597" spans="1:4" x14ac:dyDescent="0.25">
      <c r="A597" t="s">
        <v>5</v>
      </c>
      <c r="B597" t="s">
        <v>9</v>
      </c>
      <c r="C597">
        <v>105.91784</v>
      </c>
      <c r="D597" s="1">
        <v>42583</v>
      </c>
    </row>
    <row r="598" spans="1:4" x14ac:dyDescent="0.25">
      <c r="A598" t="s">
        <v>5</v>
      </c>
      <c r="B598" t="s">
        <v>9</v>
      </c>
      <c r="C598">
        <v>105.26854</v>
      </c>
      <c r="D598" s="1">
        <v>42614</v>
      </c>
    </row>
    <row r="599" spans="1:4" x14ac:dyDescent="0.25">
      <c r="A599" t="s">
        <v>5</v>
      </c>
      <c r="B599" t="s">
        <v>9</v>
      </c>
      <c r="C599">
        <v>107.14033999999999</v>
      </c>
      <c r="D599" s="1">
        <v>42644</v>
      </c>
    </row>
    <row r="600" spans="1:4" x14ac:dyDescent="0.25">
      <c r="A600" t="s">
        <v>5</v>
      </c>
      <c r="B600" t="s">
        <v>9</v>
      </c>
      <c r="C600">
        <v>107.97213000000001</v>
      </c>
      <c r="D600" s="1">
        <v>42675</v>
      </c>
    </row>
    <row r="601" spans="1:4" x14ac:dyDescent="0.25">
      <c r="A601" t="s">
        <v>5</v>
      </c>
      <c r="B601" t="s">
        <v>9</v>
      </c>
      <c r="C601">
        <v>117.79062</v>
      </c>
      <c r="D601" s="1">
        <v>42705</v>
      </c>
    </row>
    <row r="602" spans="1:4" x14ac:dyDescent="0.25">
      <c r="A602" t="s">
        <v>5</v>
      </c>
      <c r="B602" t="s">
        <v>9</v>
      </c>
      <c r="C602">
        <v>92.728250000000003</v>
      </c>
      <c r="D602" s="1">
        <v>42736</v>
      </c>
    </row>
    <row r="603" spans="1:4" x14ac:dyDescent="0.25">
      <c r="A603" t="s">
        <v>5</v>
      </c>
      <c r="B603" t="s">
        <v>9</v>
      </c>
      <c r="C603">
        <v>89.651009999999999</v>
      </c>
      <c r="D603" s="1">
        <v>42767</v>
      </c>
    </row>
    <row r="604" spans="1:4" x14ac:dyDescent="0.25">
      <c r="A604" t="s">
        <v>5</v>
      </c>
      <c r="B604" t="s">
        <v>9</v>
      </c>
      <c r="C604">
        <v>96.987849999999995</v>
      </c>
      <c r="D604" s="1">
        <v>42795</v>
      </c>
    </row>
    <row r="605" spans="1:4" x14ac:dyDescent="0.25">
      <c r="A605" t="s">
        <v>5</v>
      </c>
      <c r="B605" t="s">
        <v>9</v>
      </c>
      <c r="C605">
        <v>94.890289999999993</v>
      </c>
      <c r="D605" s="1">
        <v>42826</v>
      </c>
    </row>
    <row r="606" spans="1:4" x14ac:dyDescent="0.25">
      <c r="A606" t="s">
        <v>5</v>
      </c>
      <c r="B606" t="s">
        <v>9</v>
      </c>
      <c r="C606">
        <v>99.574860000000001</v>
      </c>
      <c r="D606" s="1">
        <v>42856</v>
      </c>
    </row>
    <row r="607" spans="1:4" x14ac:dyDescent="0.25">
      <c r="A607" t="s">
        <v>5</v>
      </c>
      <c r="B607" t="s">
        <v>9</v>
      </c>
      <c r="C607">
        <v>99.254890000000003</v>
      </c>
      <c r="D607" s="1">
        <v>42887</v>
      </c>
    </row>
    <row r="608" spans="1:4" x14ac:dyDescent="0.25">
      <c r="A608" t="s">
        <v>5</v>
      </c>
      <c r="B608" t="s">
        <v>9</v>
      </c>
      <c r="C608">
        <v>99.807860000000005</v>
      </c>
      <c r="D608" s="1">
        <v>42917</v>
      </c>
    </row>
    <row r="609" spans="1:4" x14ac:dyDescent="0.25">
      <c r="A609" t="s">
        <v>5</v>
      </c>
      <c r="B609" t="s">
        <v>9</v>
      </c>
      <c r="C609">
        <v>99.005369999999999</v>
      </c>
      <c r="D609" s="1">
        <v>42948</v>
      </c>
    </row>
    <row r="610" spans="1:4" x14ac:dyDescent="0.25">
      <c r="A610" t="s">
        <v>5</v>
      </c>
      <c r="B610" t="s">
        <v>9</v>
      </c>
      <c r="C610">
        <v>98.606629999999996</v>
      </c>
      <c r="D610" s="1">
        <v>42979</v>
      </c>
    </row>
    <row r="611" spans="1:4" x14ac:dyDescent="0.25">
      <c r="A611" t="s">
        <v>5</v>
      </c>
      <c r="B611" t="s">
        <v>9</v>
      </c>
      <c r="C611">
        <v>100.30302</v>
      </c>
      <c r="D611" s="1">
        <v>43009</v>
      </c>
    </row>
    <row r="612" spans="1:4" x14ac:dyDescent="0.25">
      <c r="A612" t="s">
        <v>5</v>
      </c>
      <c r="B612" t="s">
        <v>9</v>
      </c>
      <c r="C612">
        <v>101.58642</v>
      </c>
      <c r="D612" s="1">
        <v>43040</v>
      </c>
    </row>
    <row r="613" spans="1:4" x14ac:dyDescent="0.25">
      <c r="A613" t="s">
        <v>5</v>
      </c>
      <c r="B613" t="s">
        <v>9</v>
      </c>
      <c r="C613">
        <v>113.66382</v>
      </c>
      <c r="D613" s="1">
        <v>43070</v>
      </c>
    </row>
    <row r="614" spans="1:4" x14ac:dyDescent="0.25">
      <c r="A614" t="s">
        <v>5</v>
      </c>
      <c r="B614" t="s">
        <v>9</v>
      </c>
      <c r="C614">
        <v>89.473140000000001</v>
      </c>
      <c r="D614" s="1">
        <v>43101</v>
      </c>
    </row>
    <row r="615" spans="1:4" x14ac:dyDescent="0.25">
      <c r="A615" t="s">
        <v>5</v>
      </c>
      <c r="B615" t="s">
        <v>9</v>
      </c>
      <c r="C615">
        <v>88.271450000000002</v>
      </c>
      <c r="D615" s="1">
        <v>43132</v>
      </c>
    </row>
    <row r="616" spans="1:4" x14ac:dyDescent="0.25">
      <c r="A616" t="s">
        <v>5</v>
      </c>
      <c r="B616" t="s">
        <v>9</v>
      </c>
      <c r="C616">
        <v>94.392120000000006</v>
      </c>
      <c r="D616" s="1">
        <v>43160</v>
      </c>
    </row>
    <row r="617" spans="1:4" x14ac:dyDescent="0.25">
      <c r="A617" t="s">
        <v>5</v>
      </c>
      <c r="B617" t="s">
        <v>9</v>
      </c>
      <c r="C617">
        <v>96.610020000000006</v>
      </c>
      <c r="D617" s="1">
        <v>43191</v>
      </c>
    </row>
    <row r="618" spans="1:4" x14ac:dyDescent="0.25">
      <c r="A618" t="s">
        <v>5</v>
      </c>
      <c r="B618" t="s">
        <v>9</v>
      </c>
      <c r="C618">
        <v>96.559610000000006</v>
      </c>
      <c r="D618" s="1">
        <v>43221</v>
      </c>
    </row>
    <row r="619" spans="1:4" x14ac:dyDescent="0.25">
      <c r="A619" t="s">
        <v>5</v>
      </c>
      <c r="B619" t="s">
        <v>9</v>
      </c>
      <c r="C619">
        <v>95.747839999999997</v>
      </c>
      <c r="D619" s="1">
        <v>43252</v>
      </c>
    </row>
    <row r="620" spans="1:4" x14ac:dyDescent="0.25">
      <c r="A620" t="s">
        <v>5</v>
      </c>
      <c r="B620" t="s">
        <v>9</v>
      </c>
      <c r="C620">
        <v>97.029079999999993</v>
      </c>
      <c r="D620" s="1">
        <v>43282</v>
      </c>
    </row>
    <row r="621" spans="1:4" x14ac:dyDescent="0.25">
      <c r="A621" t="s">
        <v>5</v>
      </c>
      <c r="B621" t="s">
        <v>9</v>
      </c>
      <c r="C621">
        <v>99.529380000000003</v>
      </c>
      <c r="D621" s="1">
        <v>43313</v>
      </c>
    </row>
    <row r="622" spans="1:4" x14ac:dyDescent="0.25">
      <c r="A622" t="s">
        <v>5</v>
      </c>
      <c r="B622" t="s">
        <v>9</v>
      </c>
      <c r="C622">
        <v>96.541669999999996</v>
      </c>
      <c r="D622" s="1">
        <v>43344</v>
      </c>
    </row>
    <row r="623" spans="1:4" x14ac:dyDescent="0.25">
      <c r="A623" t="s">
        <v>5</v>
      </c>
      <c r="B623" t="s">
        <v>9</v>
      </c>
      <c r="C623">
        <v>100.1279</v>
      </c>
      <c r="D623" s="1">
        <v>43374</v>
      </c>
    </row>
    <row r="624" spans="1:4" x14ac:dyDescent="0.25">
      <c r="A624" t="s">
        <v>5</v>
      </c>
      <c r="B624" t="s">
        <v>9</v>
      </c>
      <c r="C624">
        <v>100.5778</v>
      </c>
      <c r="D624" s="1">
        <v>43405</v>
      </c>
    </row>
    <row r="625" spans="1:4" x14ac:dyDescent="0.25">
      <c r="A625" t="s">
        <v>5</v>
      </c>
      <c r="B625" t="s">
        <v>9</v>
      </c>
      <c r="C625">
        <v>109.46733</v>
      </c>
      <c r="D625" s="1">
        <v>43435</v>
      </c>
    </row>
    <row r="626" spans="1:4" x14ac:dyDescent="0.25">
      <c r="A626" t="s">
        <v>5</v>
      </c>
      <c r="B626" t="s">
        <v>9</v>
      </c>
      <c r="C626">
        <v>88.915850000000006</v>
      </c>
      <c r="D626" s="1">
        <v>43466</v>
      </c>
    </row>
    <row r="627" spans="1:4" x14ac:dyDescent="0.25">
      <c r="A627" t="s">
        <v>5</v>
      </c>
      <c r="B627" t="s">
        <v>9</v>
      </c>
      <c r="C627">
        <v>89.575280000000006</v>
      </c>
      <c r="D627" s="1">
        <v>43497</v>
      </c>
    </row>
    <row r="628" spans="1:4" x14ac:dyDescent="0.25">
      <c r="A628" t="s">
        <v>5</v>
      </c>
      <c r="B628" t="s">
        <v>9</v>
      </c>
      <c r="C628">
        <v>91.833789999999993</v>
      </c>
      <c r="D628" s="1">
        <v>43525</v>
      </c>
    </row>
    <row r="629" spans="1:4" x14ac:dyDescent="0.25">
      <c r="A629" t="s">
        <v>5</v>
      </c>
      <c r="B629" t="s">
        <v>9</v>
      </c>
      <c r="C629">
        <v>95.887510000000006</v>
      </c>
      <c r="D629" s="1">
        <v>43556</v>
      </c>
    </row>
    <row r="630" spans="1:4" x14ac:dyDescent="0.25">
      <c r="A630" t="s">
        <v>5</v>
      </c>
      <c r="B630" t="s">
        <v>9</v>
      </c>
      <c r="C630">
        <v>98.104470000000006</v>
      </c>
      <c r="D630" s="1">
        <v>43586</v>
      </c>
    </row>
    <row r="631" spans="1:4" x14ac:dyDescent="0.25">
      <c r="A631" t="s">
        <v>5</v>
      </c>
      <c r="B631" t="s">
        <v>9</v>
      </c>
      <c r="C631">
        <v>94.823620000000005</v>
      </c>
      <c r="D631" s="1">
        <v>43617</v>
      </c>
    </row>
    <row r="632" spans="1:4" x14ac:dyDescent="0.25">
      <c r="A632" t="s">
        <v>5</v>
      </c>
      <c r="B632" t="s">
        <v>9</v>
      </c>
      <c r="C632">
        <v>97.924449999999993</v>
      </c>
      <c r="D632" s="1">
        <v>43647</v>
      </c>
    </row>
    <row r="633" spans="1:4" x14ac:dyDescent="0.25">
      <c r="A633" t="s">
        <v>5</v>
      </c>
      <c r="B633" t="s">
        <v>9</v>
      </c>
      <c r="C633">
        <v>97.065880000000007</v>
      </c>
      <c r="D633" s="1">
        <v>43678</v>
      </c>
    </row>
    <row r="634" spans="1:4" x14ac:dyDescent="0.25">
      <c r="A634" t="s">
        <v>5</v>
      </c>
      <c r="B634" t="s">
        <v>9</v>
      </c>
      <c r="C634">
        <v>99.649569999999997</v>
      </c>
      <c r="D634" s="1">
        <v>43709</v>
      </c>
    </row>
    <row r="635" spans="1:4" x14ac:dyDescent="0.25">
      <c r="A635" t="s">
        <v>5</v>
      </c>
      <c r="B635" t="s">
        <v>9</v>
      </c>
      <c r="C635">
        <v>102.77817</v>
      </c>
      <c r="D635" s="1">
        <v>43739</v>
      </c>
    </row>
    <row r="636" spans="1:4" x14ac:dyDescent="0.25">
      <c r="A636" t="s">
        <v>5</v>
      </c>
      <c r="B636" t="s">
        <v>9</v>
      </c>
      <c r="C636">
        <v>103.6752</v>
      </c>
      <c r="D636" s="1">
        <v>43770</v>
      </c>
    </row>
    <row r="637" spans="1:4" x14ac:dyDescent="0.25">
      <c r="A637" t="s">
        <v>5</v>
      </c>
      <c r="B637" t="s">
        <v>9</v>
      </c>
      <c r="C637">
        <v>111.25587</v>
      </c>
      <c r="D637" s="1">
        <v>43800</v>
      </c>
    </row>
    <row r="638" spans="1:4" x14ac:dyDescent="0.25">
      <c r="A638" t="s">
        <v>5</v>
      </c>
      <c r="B638" t="s">
        <v>9</v>
      </c>
      <c r="C638">
        <v>88.921850000000006</v>
      </c>
      <c r="D638" s="1">
        <v>43831</v>
      </c>
    </row>
    <row r="639" spans="1:4" x14ac:dyDescent="0.25">
      <c r="A639" t="s">
        <v>5</v>
      </c>
      <c r="B639" t="s">
        <v>9</v>
      </c>
      <c r="C639">
        <v>86.562269999999998</v>
      </c>
      <c r="D639" s="1">
        <v>43862</v>
      </c>
    </row>
    <row r="640" spans="1:4" x14ac:dyDescent="0.25">
      <c r="A640" t="s">
        <v>5</v>
      </c>
      <c r="B640" t="s">
        <v>9</v>
      </c>
      <c r="C640">
        <v>88.442239999999998</v>
      </c>
      <c r="D640" s="1">
        <v>43891</v>
      </c>
    </row>
    <row r="641" spans="1:4" x14ac:dyDescent="0.25">
      <c r="A641" t="s">
        <v>5</v>
      </c>
      <c r="B641" t="s">
        <v>9</v>
      </c>
      <c r="C641">
        <v>79.091059999999999</v>
      </c>
      <c r="D641" s="1">
        <v>43922</v>
      </c>
    </row>
    <row r="642" spans="1:4" x14ac:dyDescent="0.25">
      <c r="A642" t="s">
        <v>5</v>
      </c>
      <c r="B642" t="s">
        <v>9</v>
      </c>
      <c r="C642">
        <v>77.176450000000003</v>
      </c>
      <c r="D642" s="1">
        <v>43952</v>
      </c>
    </row>
    <row r="643" spans="1:4" x14ac:dyDescent="0.25">
      <c r="A643" t="s">
        <v>5</v>
      </c>
      <c r="B643" t="s">
        <v>9</v>
      </c>
      <c r="C643">
        <v>79.779499999999999</v>
      </c>
      <c r="D643" s="1">
        <v>43983</v>
      </c>
    </row>
    <row r="644" spans="1:4" x14ac:dyDescent="0.25">
      <c r="A644" t="s">
        <v>5</v>
      </c>
      <c r="B644" t="s">
        <v>9</v>
      </c>
      <c r="C644">
        <v>83.512129999999999</v>
      </c>
      <c r="D644" s="1">
        <v>44013</v>
      </c>
    </row>
    <row r="645" spans="1:4" x14ac:dyDescent="0.25">
      <c r="A645" t="s">
        <v>5</v>
      </c>
      <c r="B645" t="s">
        <v>9</v>
      </c>
      <c r="C645">
        <v>83.332070000000002</v>
      </c>
      <c r="D645" s="1">
        <v>44044</v>
      </c>
    </row>
    <row r="646" spans="1:4" x14ac:dyDescent="0.25">
      <c r="A646" t="s">
        <v>5</v>
      </c>
      <c r="B646" t="s">
        <v>9</v>
      </c>
      <c r="C646">
        <v>86.372349999999997</v>
      </c>
      <c r="D646" s="1">
        <v>44075</v>
      </c>
    </row>
    <row r="647" spans="1:4" x14ac:dyDescent="0.25">
      <c r="A647" t="s">
        <v>5</v>
      </c>
      <c r="B647" t="s">
        <v>9</v>
      </c>
      <c r="C647">
        <v>88.993309999999994</v>
      </c>
      <c r="D647" s="1">
        <v>44105</v>
      </c>
    </row>
    <row r="648" spans="1:4" x14ac:dyDescent="0.25">
      <c r="A648" t="s">
        <v>5</v>
      </c>
      <c r="B648" t="s">
        <v>9</v>
      </c>
      <c r="C648">
        <v>92.885829999999999</v>
      </c>
      <c r="D648" s="1">
        <v>44136</v>
      </c>
    </row>
    <row r="649" spans="1:4" x14ac:dyDescent="0.25">
      <c r="A649" t="s">
        <v>5</v>
      </c>
      <c r="B649" t="s">
        <v>9</v>
      </c>
      <c r="C649">
        <v>102.75664999999999</v>
      </c>
      <c r="D649" s="1">
        <v>44166</v>
      </c>
    </row>
    <row r="650" spans="1:4" x14ac:dyDescent="0.25">
      <c r="A650" t="s">
        <v>5</v>
      </c>
      <c r="B650" t="s">
        <v>9</v>
      </c>
      <c r="C650">
        <v>82.024799999999999</v>
      </c>
      <c r="D650" s="1">
        <v>44197</v>
      </c>
    </row>
    <row r="651" spans="1:4" x14ac:dyDescent="0.25">
      <c r="A651" t="s">
        <v>5</v>
      </c>
      <c r="B651" t="s">
        <v>9</v>
      </c>
      <c r="C651">
        <v>84.597859999999997</v>
      </c>
      <c r="D651" s="1">
        <v>44228</v>
      </c>
    </row>
    <row r="652" spans="1:4" x14ac:dyDescent="0.25">
      <c r="A652" t="s">
        <v>5</v>
      </c>
      <c r="B652" t="s">
        <v>9</v>
      </c>
      <c r="C652">
        <v>89.329660000000004</v>
      </c>
      <c r="D652" s="1">
        <v>44256</v>
      </c>
    </row>
    <row r="653" spans="1:4" x14ac:dyDescent="0.25">
      <c r="A653" t="s">
        <v>5</v>
      </c>
      <c r="B653" t="s">
        <v>9</v>
      </c>
      <c r="C653">
        <v>88.721800000000002</v>
      </c>
      <c r="D653" s="1">
        <v>44287</v>
      </c>
    </row>
    <row r="654" spans="1:4" x14ac:dyDescent="0.25">
      <c r="A654" t="s">
        <v>5</v>
      </c>
      <c r="B654" t="s">
        <v>9</v>
      </c>
      <c r="C654">
        <v>89.778210000000001</v>
      </c>
      <c r="D654" s="1">
        <v>44317</v>
      </c>
    </row>
    <row r="655" spans="1:4" x14ac:dyDescent="0.25">
      <c r="A655" t="s">
        <v>5</v>
      </c>
      <c r="B655" t="s">
        <v>9</v>
      </c>
      <c r="C655">
        <v>93.047160000000005</v>
      </c>
      <c r="D655" s="1">
        <v>44348</v>
      </c>
    </row>
    <row r="656" spans="1:4" x14ac:dyDescent="0.25">
      <c r="A656" t="s">
        <v>5</v>
      </c>
      <c r="B656" t="s">
        <v>9</v>
      </c>
      <c r="C656">
        <v>95.552940000000007</v>
      </c>
      <c r="D656" s="1">
        <v>44378</v>
      </c>
    </row>
    <row r="657" spans="1:4" x14ac:dyDescent="0.25">
      <c r="A657" t="s">
        <v>5</v>
      </c>
      <c r="B657" t="s">
        <v>9</v>
      </c>
      <c r="C657">
        <v>93.984380000000002</v>
      </c>
      <c r="D657" s="1">
        <v>44409</v>
      </c>
    </row>
    <row r="658" spans="1:4" x14ac:dyDescent="0.25">
      <c r="A658" t="s">
        <v>5</v>
      </c>
      <c r="B658" t="s">
        <v>9</v>
      </c>
      <c r="C658">
        <v>95.05198</v>
      </c>
      <c r="D658" s="1">
        <v>44440</v>
      </c>
    </row>
    <row r="659" spans="1:4" x14ac:dyDescent="0.25">
      <c r="A659" t="s">
        <v>5</v>
      </c>
      <c r="B659" t="s">
        <v>9</v>
      </c>
      <c r="C659">
        <v>93.174160000000001</v>
      </c>
      <c r="D659" s="1">
        <v>44470</v>
      </c>
    </row>
    <row r="660" spans="1:4" x14ac:dyDescent="0.25">
      <c r="A660" t="s">
        <v>5</v>
      </c>
      <c r="B660" t="s">
        <v>9</v>
      </c>
      <c r="C660">
        <v>97.631489999999999</v>
      </c>
      <c r="D660" s="1">
        <v>44501</v>
      </c>
    </row>
    <row r="661" spans="1:4" x14ac:dyDescent="0.25">
      <c r="A661" t="s">
        <v>5</v>
      </c>
      <c r="B661" t="s">
        <v>9</v>
      </c>
      <c r="C661">
        <v>111.46156999999999</v>
      </c>
      <c r="D661" s="1">
        <v>44531</v>
      </c>
    </row>
    <row r="662" spans="1:4" x14ac:dyDescent="0.25">
      <c r="A662" t="s">
        <v>5</v>
      </c>
      <c r="B662" t="s">
        <v>9</v>
      </c>
      <c r="C662">
        <v>88.169079999999994</v>
      </c>
      <c r="D662" s="1">
        <v>44562</v>
      </c>
    </row>
    <row r="663" spans="1:4" x14ac:dyDescent="0.25">
      <c r="A663" t="s">
        <v>5</v>
      </c>
      <c r="B663" t="s">
        <v>9</v>
      </c>
      <c r="C663">
        <v>90.715800000000002</v>
      </c>
      <c r="D663" s="1">
        <v>44593</v>
      </c>
    </row>
    <row r="664" spans="1:4" x14ac:dyDescent="0.25">
      <c r="A664" t="s">
        <v>5</v>
      </c>
      <c r="B664" t="s">
        <v>9</v>
      </c>
      <c r="C664">
        <v>98.004180000000005</v>
      </c>
      <c r="D664" s="1">
        <v>44621</v>
      </c>
    </row>
    <row r="665" spans="1:4" x14ac:dyDescent="0.25">
      <c r="A665" t="s">
        <v>5</v>
      </c>
      <c r="B665" t="s">
        <v>9</v>
      </c>
      <c r="C665">
        <v>95.672920000000005</v>
      </c>
      <c r="D665" s="1">
        <v>44652</v>
      </c>
    </row>
    <row r="666" spans="1:4" x14ac:dyDescent="0.25">
      <c r="A666" t="s">
        <v>5</v>
      </c>
      <c r="B666" t="s">
        <v>9</v>
      </c>
      <c r="C666">
        <v>98.460539999999995</v>
      </c>
      <c r="D666" s="1">
        <v>44682</v>
      </c>
    </row>
    <row r="667" spans="1:4" x14ac:dyDescent="0.25">
      <c r="A667" t="s">
        <v>5</v>
      </c>
      <c r="B667" t="s">
        <v>9</v>
      </c>
      <c r="C667">
        <v>100.77307</v>
      </c>
      <c r="D667" s="1">
        <v>44713</v>
      </c>
    </row>
    <row r="668" spans="1:4" x14ac:dyDescent="0.25">
      <c r="A668" t="s">
        <v>5</v>
      </c>
      <c r="B668" t="s">
        <v>9</v>
      </c>
      <c r="C668">
        <v>99.493099999999998</v>
      </c>
      <c r="D668" s="1">
        <v>44743</v>
      </c>
    </row>
    <row r="669" spans="1:4" x14ac:dyDescent="0.25">
      <c r="A669" t="s">
        <v>5</v>
      </c>
      <c r="B669" t="s">
        <v>9</v>
      </c>
      <c r="C669">
        <v>101.14089</v>
      </c>
      <c r="D669" s="1">
        <v>44774</v>
      </c>
    </row>
    <row r="670" spans="1:4" x14ac:dyDescent="0.25">
      <c r="A670" t="s">
        <v>5</v>
      </c>
      <c r="B670" t="s">
        <v>9</v>
      </c>
      <c r="C670">
        <v>102.38397999999999</v>
      </c>
      <c r="D670" s="1">
        <v>44805</v>
      </c>
    </row>
    <row r="671" spans="1:4" x14ac:dyDescent="0.25">
      <c r="A671" t="s">
        <v>5</v>
      </c>
      <c r="B671" t="s">
        <v>9</v>
      </c>
      <c r="C671">
        <v>100.87145</v>
      </c>
      <c r="D671" s="1">
        <v>44835</v>
      </c>
    </row>
    <row r="672" spans="1:4" x14ac:dyDescent="0.25">
      <c r="A672" t="s">
        <v>5</v>
      </c>
      <c r="B672" t="s">
        <v>9</v>
      </c>
      <c r="C672">
        <v>104.55056999999999</v>
      </c>
      <c r="D672" s="1">
        <v>44866</v>
      </c>
    </row>
    <row r="673" spans="1:4" x14ac:dyDescent="0.25">
      <c r="A673" t="s">
        <v>5</v>
      </c>
      <c r="B673" t="s">
        <v>9</v>
      </c>
      <c r="C673">
        <v>119.76442</v>
      </c>
      <c r="D673" s="1">
        <v>44896</v>
      </c>
    </row>
    <row r="674" spans="1:4" x14ac:dyDescent="0.25">
      <c r="A674" t="s">
        <v>5</v>
      </c>
      <c r="B674" t="s">
        <v>9</v>
      </c>
      <c r="C674">
        <v>94.490129999999994</v>
      </c>
      <c r="D674" s="1">
        <v>44927</v>
      </c>
    </row>
    <row r="675" spans="1:4" x14ac:dyDescent="0.25">
      <c r="A675" t="s">
        <v>5</v>
      </c>
      <c r="B675" t="s">
        <v>9</v>
      </c>
      <c r="C675">
        <v>92.744389999999996</v>
      </c>
      <c r="D675" s="1">
        <v>44958</v>
      </c>
    </row>
    <row r="676" spans="1:4" x14ac:dyDescent="0.25">
      <c r="A676" t="s">
        <v>5</v>
      </c>
      <c r="B676" t="s">
        <v>9</v>
      </c>
      <c r="C676">
        <v>104.24687</v>
      </c>
      <c r="D676" s="1">
        <v>44986</v>
      </c>
    </row>
    <row r="677" spans="1:4" x14ac:dyDescent="0.25">
      <c r="A677" t="s">
        <v>5</v>
      </c>
      <c r="B677" t="s">
        <v>9</v>
      </c>
      <c r="C677">
        <v>100.16611</v>
      </c>
      <c r="D677" s="1">
        <v>45017</v>
      </c>
    </row>
    <row r="678" spans="1:4" x14ac:dyDescent="0.25">
      <c r="A678" t="s">
        <v>5</v>
      </c>
      <c r="B678" t="s">
        <v>9</v>
      </c>
      <c r="C678">
        <v>102.4298</v>
      </c>
      <c r="D678" s="1">
        <v>45047</v>
      </c>
    </row>
    <row r="679" spans="1:4" x14ac:dyDescent="0.25">
      <c r="A679" t="s">
        <v>5</v>
      </c>
      <c r="B679" t="s">
        <v>9</v>
      </c>
      <c r="C679">
        <v>104.86484</v>
      </c>
      <c r="D679" s="1">
        <v>45078</v>
      </c>
    </row>
    <row r="680" spans="1:4" x14ac:dyDescent="0.25">
      <c r="A680" t="s">
        <v>5</v>
      </c>
      <c r="B680" t="s">
        <v>9</v>
      </c>
      <c r="C680">
        <v>103.09705</v>
      </c>
      <c r="D680" s="1">
        <v>45108</v>
      </c>
    </row>
    <row r="681" spans="1:4" x14ac:dyDescent="0.25">
      <c r="A681" t="s">
        <v>5</v>
      </c>
      <c r="B681" t="s">
        <v>9</v>
      </c>
      <c r="C681">
        <v>110.32728</v>
      </c>
      <c r="D681" s="1">
        <v>45139</v>
      </c>
    </row>
    <row r="682" spans="1:4" x14ac:dyDescent="0.25">
      <c r="A682" t="s">
        <v>5</v>
      </c>
      <c r="B682" t="s">
        <v>9</v>
      </c>
      <c r="C682">
        <v>108.5403</v>
      </c>
      <c r="D682" s="1">
        <v>45170</v>
      </c>
    </row>
    <row r="683" spans="1:4" x14ac:dyDescent="0.25">
      <c r="A683" t="s">
        <v>5</v>
      </c>
      <c r="B683" t="s">
        <v>9</v>
      </c>
      <c r="C683">
        <v>110.49596</v>
      </c>
      <c r="D683" s="1">
        <v>45200</v>
      </c>
    </row>
    <row r="684" spans="1:4" x14ac:dyDescent="0.25">
      <c r="A684" t="s">
        <v>5</v>
      </c>
      <c r="B684" t="s">
        <v>9</v>
      </c>
      <c r="C684">
        <v>115.82265</v>
      </c>
      <c r="D684" s="1">
        <v>45231</v>
      </c>
    </row>
    <row r="685" spans="1:4" x14ac:dyDescent="0.25">
      <c r="A685" t="s">
        <v>5</v>
      </c>
      <c r="B685" t="s">
        <v>9</v>
      </c>
      <c r="C685">
        <v>123.68034</v>
      </c>
      <c r="D685" s="1">
        <v>45261</v>
      </c>
    </row>
    <row r="686" spans="1:4" x14ac:dyDescent="0.25">
      <c r="A686" t="s">
        <v>5</v>
      </c>
      <c r="B686" t="s">
        <v>9</v>
      </c>
      <c r="C686">
        <v>105.36678000000001</v>
      </c>
      <c r="D686" s="1">
        <v>45292</v>
      </c>
    </row>
    <row r="687" spans="1:4" x14ac:dyDescent="0.25">
      <c r="A687" t="s">
        <v>5</v>
      </c>
      <c r="B687" t="s">
        <v>9</v>
      </c>
      <c r="C687">
        <v>101.91647</v>
      </c>
      <c r="D687" s="1">
        <v>45323</v>
      </c>
    </row>
    <row r="688" spans="1:4" x14ac:dyDescent="0.25">
      <c r="A688" t="s">
        <v>5</v>
      </c>
      <c r="B688" t="s">
        <v>9</v>
      </c>
      <c r="C688">
        <v>111.41083999999999</v>
      </c>
      <c r="D688" s="1">
        <v>45352</v>
      </c>
    </row>
    <row r="689" spans="1:4" x14ac:dyDescent="0.25">
      <c r="A689" t="s">
        <v>5</v>
      </c>
      <c r="B689" t="s">
        <v>9</v>
      </c>
      <c r="C689">
        <v>110.2757</v>
      </c>
      <c r="D689" s="1">
        <v>45383</v>
      </c>
    </row>
    <row r="690" spans="1:4" x14ac:dyDescent="0.25">
      <c r="A690" t="s">
        <v>5</v>
      </c>
      <c r="B690" t="s">
        <v>9</v>
      </c>
      <c r="C690">
        <v>108.75252999999999</v>
      </c>
      <c r="D690" s="1">
        <v>45413</v>
      </c>
    </row>
    <row r="691" spans="1:4" x14ac:dyDescent="0.25">
      <c r="A691" t="s">
        <v>5</v>
      </c>
      <c r="B691" t="s">
        <v>9</v>
      </c>
      <c r="C691">
        <v>112.16127</v>
      </c>
      <c r="D691" s="1">
        <v>45444</v>
      </c>
    </row>
    <row r="692" spans="1:4" x14ac:dyDescent="0.25">
      <c r="A692" t="s">
        <v>5</v>
      </c>
      <c r="B692" t="s">
        <v>9</v>
      </c>
      <c r="C692">
        <v>112.86597</v>
      </c>
      <c r="D692" s="1">
        <v>45474</v>
      </c>
    </row>
    <row r="693" spans="1:4" x14ac:dyDescent="0.25">
      <c r="A693" t="s">
        <v>5</v>
      </c>
      <c r="B693" t="s">
        <v>9</v>
      </c>
      <c r="C693">
        <v>112.53843000000001</v>
      </c>
      <c r="D693" s="1">
        <v>45505</v>
      </c>
    </row>
    <row r="694" spans="1:4" x14ac:dyDescent="0.25">
      <c r="A694" t="s">
        <v>5</v>
      </c>
      <c r="B694" t="s">
        <v>9</v>
      </c>
      <c r="C694">
        <v>115.05534</v>
      </c>
      <c r="D694" s="1">
        <v>45536</v>
      </c>
    </row>
    <row r="695" spans="1:4" x14ac:dyDescent="0.25">
      <c r="A695" t="s">
        <v>5</v>
      </c>
      <c r="B695" t="s">
        <v>9</v>
      </c>
      <c r="C695">
        <v>119.15456</v>
      </c>
      <c r="D695" s="1">
        <v>45566</v>
      </c>
    </row>
    <row r="696" spans="1:4" x14ac:dyDescent="0.25">
      <c r="A696" t="s">
        <v>5</v>
      </c>
      <c r="B696" t="s">
        <v>9</v>
      </c>
      <c r="C696">
        <v>118.34658</v>
      </c>
      <c r="D696" s="1">
        <v>45597</v>
      </c>
    </row>
    <row r="697" spans="1:4" x14ac:dyDescent="0.25">
      <c r="A697" t="s">
        <v>5</v>
      </c>
      <c r="B697" t="s">
        <v>9</v>
      </c>
      <c r="C697">
        <v>127.72011999999999</v>
      </c>
      <c r="D697" s="1">
        <v>45627</v>
      </c>
    </row>
    <row r="698" spans="1:4" x14ac:dyDescent="0.25">
      <c r="A698" t="s">
        <v>5</v>
      </c>
      <c r="B698" t="s">
        <v>9</v>
      </c>
      <c r="C698">
        <v>105.65398999999999</v>
      </c>
      <c r="D698" s="1">
        <v>45658</v>
      </c>
    </row>
    <row r="699" spans="1:4" x14ac:dyDescent="0.25">
      <c r="A699" t="s">
        <v>5</v>
      </c>
      <c r="B699" t="s">
        <v>9</v>
      </c>
      <c r="C699">
        <v>106.38495</v>
      </c>
      <c r="D699" s="1">
        <v>45689</v>
      </c>
    </row>
    <row r="700" spans="1:4" x14ac:dyDescent="0.25">
      <c r="A700" t="s">
        <v>5</v>
      </c>
      <c r="B700" t="s">
        <v>9</v>
      </c>
      <c r="C700">
        <v>113.09702</v>
      </c>
      <c r="D700" s="1">
        <v>45717</v>
      </c>
    </row>
    <row r="701" spans="1:4" x14ac:dyDescent="0.25">
      <c r="A701" t="s">
        <v>5</v>
      </c>
      <c r="B701" t="s">
        <v>9</v>
      </c>
      <c r="C701">
        <v>111.7037</v>
      </c>
      <c r="D701" s="1">
        <v>45748</v>
      </c>
    </row>
    <row r="702" spans="1:4" x14ac:dyDescent="0.25">
      <c r="A702" t="s">
        <v>5</v>
      </c>
      <c r="B702" t="s">
        <v>9</v>
      </c>
      <c r="C702">
        <v>113.10706999999999</v>
      </c>
      <c r="D702" s="1">
        <v>45778</v>
      </c>
    </row>
    <row r="703" spans="1:4" x14ac:dyDescent="0.25">
      <c r="A703" t="s">
        <v>5</v>
      </c>
      <c r="B703" t="s">
        <v>9</v>
      </c>
      <c r="C703">
        <v>115.18595000000001</v>
      </c>
      <c r="D703" s="1">
        <v>45809</v>
      </c>
    </row>
    <row r="704" spans="1:4" x14ac:dyDescent="0.25">
      <c r="A704" t="s">
        <v>5</v>
      </c>
      <c r="B704" t="s">
        <v>9</v>
      </c>
      <c r="C704">
        <v>116.28352</v>
      </c>
      <c r="D704" s="1">
        <v>45839</v>
      </c>
    </row>
    <row r="705" spans="1:4" x14ac:dyDescent="0.25">
      <c r="A705" t="s">
        <v>5</v>
      </c>
      <c r="B705" t="s">
        <v>9</v>
      </c>
      <c r="C705">
        <v>115.78234999999999</v>
      </c>
      <c r="D705" s="1">
        <v>45870</v>
      </c>
    </row>
    <row r="706" spans="1:4" x14ac:dyDescent="0.25">
      <c r="A706" t="s">
        <v>5</v>
      </c>
      <c r="B706" t="s">
        <v>10</v>
      </c>
      <c r="C706">
        <v>76.495739999999998</v>
      </c>
      <c r="D706" s="1">
        <v>40544</v>
      </c>
    </row>
    <row r="707" spans="1:4" x14ac:dyDescent="0.25">
      <c r="A707" t="s">
        <v>5</v>
      </c>
      <c r="B707" t="s">
        <v>10</v>
      </c>
      <c r="C707">
        <v>76.765309999999999</v>
      </c>
      <c r="D707" s="1">
        <v>40575</v>
      </c>
    </row>
    <row r="708" spans="1:4" x14ac:dyDescent="0.25">
      <c r="A708" t="s">
        <v>5</v>
      </c>
      <c r="B708" t="s">
        <v>10</v>
      </c>
      <c r="C708">
        <v>79.700069999999997</v>
      </c>
      <c r="D708" s="1">
        <v>40603</v>
      </c>
    </row>
    <row r="709" spans="1:4" x14ac:dyDescent="0.25">
      <c r="A709" t="s">
        <v>5</v>
      </c>
      <c r="B709" t="s">
        <v>10</v>
      </c>
      <c r="C709">
        <v>79.382210000000001</v>
      </c>
      <c r="D709" s="1">
        <v>40634</v>
      </c>
    </row>
    <row r="710" spans="1:4" x14ac:dyDescent="0.25">
      <c r="A710" t="s">
        <v>5</v>
      </c>
      <c r="B710" t="s">
        <v>10</v>
      </c>
      <c r="C710">
        <v>84.538809999999998</v>
      </c>
      <c r="D710" s="1">
        <v>40664</v>
      </c>
    </row>
    <row r="711" spans="1:4" x14ac:dyDescent="0.25">
      <c r="A711" t="s">
        <v>5</v>
      </c>
      <c r="B711" t="s">
        <v>10</v>
      </c>
      <c r="C711">
        <v>81.986940000000004</v>
      </c>
      <c r="D711" s="1">
        <v>40695</v>
      </c>
    </row>
    <row r="712" spans="1:4" x14ac:dyDescent="0.25">
      <c r="A712" t="s">
        <v>5</v>
      </c>
      <c r="B712" t="s">
        <v>10</v>
      </c>
      <c r="C712">
        <v>85.282560000000004</v>
      </c>
      <c r="D712" s="1">
        <v>40725</v>
      </c>
    </row>
    <row r="713" spans="1:4" x14ac:dyDescent="0.25">
      <c r="A713" t="s">
        <v>5</v>
      </c>
      <c r="B713" t="s">
        <v>10</v>
      </c>
      <c r="C713">
        <v>87.907139999999998</v>
      </c>
      <c r="D713" s="1">
        <v>40756</v>
      </c>
    </row>
    <row r="714" spans="1:4" x14ac:dyDescent="0.25">
      <c r="A714" t="s">
        <v>5</v>
      </c>
      <c r="B714" t="s">
        <v>10</v>
      </c>
      <c r="C714">
        <v>83.751540000000006</v>
      </c>
      <c r="D714" s="1">
        <v>40787</v>
      </c>
    </row>
    <row r="715" spans="1:4" x14ac:dyDescent="0.25">
      <c r="A715" t="s">
        <v>5</v>
      </c>
      <c r="B715" t="s">
        <v>10</v>
      </c>
      <c r="C715">
        <v>84.021069999999995</v>
      </c>
      <c r="D715" s="1">
        <v>40817</v>
      </c>
    </row>
    <row r="716" spans="1:4" x14ac:dyDescent="0.25">
      <c r="A716" t="s">
        <v>5</v>
      </c>
      <c r="B716" t="s">
        <v>10</v>
      </c>
      <c r="C716">
        <v>82.993769999999998</v>
      </c>
      <c r="D716" s="1">
        <v>40848</v>
      </c>
    </row>
    <row r="717" spans="1:4" x14ac:dyDescent="0.25">
      <c r="A717" t="s">
        <v>5</v>
      </c>
      <c r="B717" t="s">
        <v>10</v>
      </c>
      <c r="C717">
        <v>87.498919999999998</v>
      </c>
      <c r="D717" s="1">
        <v>40878</v>
      </c>
    </row>
    <row r="718" spans="1:4" x14ac:dyDescent="0.25">
      <c r="A718" t="s">
        <v>5</v>
      </c>
      <c r="B718" t="s">
        <v>10</v>
      </c>
      <c r="C718">
        <v>76.904570000000007</v>
      </c>
      <c r="D718" s="1">
        <v>40909</v>
      </c>
    </row>
    <row r="719" spans="1:4" x14ac:dyDescent="0.25">
      <c r="A719" t="s">
        <v>5</v>
      </c>
      <c r="B719" t="s">
        <v>10</v>
      </c>
      <c r="C719">
        <v>75.875969999999995</v>
      </c>
      <c r="D719" s="1">
        <v>40940</v>
      </c>
    </row>
    <row r="720" spans="1:4" x14ac:dyDescent="0.25">
      <c r="A720" t="s">
        <v>5</v>
      </c>
      <c r="B720" t="s">
        <v>10</v>
      </c>
      <c r="C720">
        <v>85.484120000000004</v>
      </c>
      <c r="D720" s="1">
        <v>40969</v>
      </c>
    </row>
    <row r="721" spans="1:4" x14ac:dyDescent="0.25">
      <c r="A721" t="s">
        <v>5</v>
      </c>
      <c r="B721" t="s">
        <v>10</v>
      </c>
      <c r="C721">
        <v>82.074650000000005</v>
      </c>
      <c r="D721" s="1">
        <v>41000</v>
      </c>
    </row>
    <row r="722" spans="1:4" x14ac:dyDescent="0.25">
      <c r="A722" t="s">
        <v>5</v>
      </c>
      <c r="B722" t="s">
        <v>10</v>
      </c>
      <c r="C722">
        <v>87.368219999999994</v>
      </c>
      <c r="D722" s="1">
        <v>41030</v>
      </c>
    </row>
    <row r="723" spans="1:4" x14ac:dyDescent="0.25">
      <c r="A723" t="s">
        <v>5</v>
      </c>
      <c r="B723" t="s">
        <v>10</v>
      </c>
      <c r="C723">
        <v>84.961740000000006</v>
      </c>
      <c r="D723" s="1">
        <v>41061</v>
      </c>
    </row>
    <row r="724" spans="1:4" x14ac:dyDescent="0.25">
      <c r="A724" t="s">
        <v>5</v>
      </c>
      <c r="B724" t="s">
        <v>10</v>
      </c>
      <c r="C724">
        <v>87.509479999999996</v>
      </c>
      <c r="D724" s="1">
        <v>41091</v>
      </c>
    </row>
    <row r="725" spans="1:4" x14ac:dyDescent="0.25">
      <c r="A725" t="s">
        <v>5</v>
      </c>
      <c r="B725" t="s">
        <v>10</v>
      </c>
      <c r="C725">
        <v>93.848510000000005</v>
      </c>
      <c r="D725" s="1">
        <v>41122</v>
      </c>
    </row>
    <row r="726" spans="1:4" x14ac:dyDescent="0.25">
      <c r="A726" t="s">
        <v>5</v>
      </c>
      <c r="B726" t="s">
        <v>10</v>
      </c>
      <c r="C726">
        <v>88.740690000000001</v>
      </c>
      <c r="D726" s="1">
        <v>41153</v>
      </c>
    </row>
    <row r="727" spans="1:4" x14ac:dyDescent="0.25">
      <c r="A727" t="s">
        <v>5</v>
      </c>
      <c r="B727" t="s">
        <v>10</v>
      </c>
      <c r="C727">
        <v>95.002489999999995</v>
      </c>
      <c r="D727" s="1">
        <v>41183</v>
      </c>
    </row>
    <row r="728" spans="1:4" x14ac:dyDescent="0.25">
      <c r="A728" t="s">
        <v>5</v>
      </c>
      <c r="B728" t="s">
        <v>10</v>
      </c>
      <c r="C728">
        <v>89.687989999999999</v>
      </c>
      <c r="D728" s="1">
        <v>41214</v>
      </c>
    </row>
    <row r="729" spans="1:4" x14ac:dyDescent="0.25">
      <c r="A729" t="s">
        <v>5</v>
      </c>
      <c r="B729" t="s">
        <v>10</v>
      </c>
      <c r="C729">
        <v>89.770750000000007</v>
      </c>
      <c r="D729" s="1">
        <v>41244</v>
      </c>
    </row>
    <row r="730" spans="1:4" x14ac:dyDescent="0.25">
      <c r="A730" t="s">
        <v>5</v>
      </c>
      <c r="B730" t="s">
        <v>10</v>
      </c>
      <c r="C730">
        <v>84.45626</v>
      </c>
      <c r="D730" s="1">
        <v>41275</v>
      </c>
    </row>
    <row r="731" spans="1:4" x14ac:dyDescent="0.25">
      <c r="A731" t="s">
        <v>5</v>
      </c>
      <c r="B731" t="s">
        <v>10</v>
      </c>
      <c r="C731">
        <v>78.855180000000004</v>
      </c>
      <c r="D731" s="1">
        <v>41306</v>
      </c>
    </row>
    <row r="732" spans="1:4" x14ac:dyDescent="0.25">
      <c r="A732" t="s">
        <v>5</v>
      </c>
      <c r="B732" t="s">
        <v>10</v>
      </c>
      <c r="C732">
        <v>89.692250000000001</v>
      </c>
      <c r="D732" s="1">
        <v>41334</v>
      </c>
    </row>
    <row r="733" spans="1:4" x14ac:dyDescent="0.25">
      <c r="A733" t="s">
        <v>5</v>
      </c>
      <c r="B733" t="s">
        <v>10</v>
      </c>
      <c r="C733">
        <v>92.223759999999999</v>
      </c>
      <c r="D733" s="1">
        <v>41365</v>
      </c>
    </row>
    <row r="734" spans="1:4" x14ac:dyDescent="0.25">
      <c r="A734" t="s">
        <v>5</v>
      </c>
      <c r="B734" t="s">
        <v>10</v>
      </c>
      <c r="C734">
        <v>93.782120000000006</v>
      </c>
      <c r="D734" s="1">
        <v>41395</v>
      </c>
    </row>
    <row r="735" spans="1:4" x14ac:dyDescent="0.25">
      <c r="A735" t="s">
        <v>5</v>
      </c>
      <c r="B735" t="s">
        <v>10</v>
      </c>
      <c r="C735">
        <v>89.860690000000005</v>
      </c>
      <c r="D735" s="1">
        <v>41426</v>
      </c>
    </row>
    <row r="736" spans="1:4" x14ac:dyDescent="0.25">
      <c r="A736" t="s">
        <v>5</v>
      </c>
      <c r="B736" t="s">
        <v>10</v>
      </c>
      <c r="C736">
        <v>96.094009999999997</v>
      </c>
      <c r="D736" s="1">
        <v>41456</v>
      </c>
    </row>
    <row r="737" spans="1:4" x14ac:dyDescent="0.25">
      <c r="A737" t="s">
        <v>5</v>
      </c>
      <c r="B737" t="s">
        <v>10</v>
      </c>
      <c r="C737">
        <v>97.274209999999997</v>
      </c>
      <c r="D737" s="1">
        <v>41487</v>
      </c>
    </row>
    <row r="738" spans="1:4" x14ac:dyDescent="0.25">
      <c r="A738" t="s">
        <v>5</v>
      </c>
      <c r="B738" t="s">
        <v>10</v>
      </c>
      <c r="C738">
        <v>94.342380000000006</v>
      </c>
      <c r="D738" s="1">
        <v>41518</v>
      </c>
    </row>
    <row r="739" spans="1:4" x14ac:dyDescent="0.25">
      <c r="A739" t="s">
        <v>5</v>
      </c>
      <c r="B739" t="s">
        <v>10</v>
      </c>
      <c r="C739">
        <v>99.03407</v>
      </c>
      <c r="D739" s="1">
        <v>41548</v>
      </c>
    </row>
    <row r="740" spans="1:4" x14ac:dyDescent="0.25">
      <c r="A740" t="s">
        <v>5</v>
      </c>
      <c r="B740" t="s">
        <v>10</v>
      </c>
      <c r="C740">
        <v>94.245580000000004</v>
      </c>
      <c r="D740" s="1">
        <v>41579</v>
      </c>
    </row>
    <row r="741" spans="1:4" x14ac:dyDescent="0.25">
      <c r="A741" t="s">
        <v>5</v>
      </c>
      <c r="B741" t="s">
        <v>10</v>
      </c>
      <c r="C741">
        <v>94.832300000000004</v>
      </c>
      <c r="D741" s="1">
        <v>41609</v>
      </c>
    </row>
    <row r="742" spans="1:4" x14ac:dyDescent="0.25">
      <c r="A742" t="s">
        <v>5</v>
      </c>
      <c r="B742" t="s">
        <v>10</v>
      </c>
      <c r="C742">
        <v>90.165750000000003</v>
      </c>
      <c r="D742" s="1">
        <v>41640</v>
      </c>
    </row>
    <row r="743" spans="1:4" x14ac:dyDescent="0.25">
      <c r="A743" t="s">
        <v>5</v>
      </c>
      <c r="B743" t="s">
        <v>10</v>
      </c>
      <c r="C743">
        <v>89.80444</v>
      </c>
      <c r="D743" s="1">
        <v>41671</v>
      </c>
    </row>
    <row r="744" spans="1:4" x14ac:dyDescent="0.25">
      <c r="A744" t="s">
        <v>5</v>
      </c>
      <c r="B744" t="s">
        <v>10</v>
      </c>
      <c r="C744">
        <v>91.923410000000004</v>
      </c>
      <c r="D744" s="1">
        <v>41699</v>
      </c>
    </row>
    <row r="745" spans="1:4" x14ac:dyDescent="0.25">
      <c r="A745" t="s">
        <v>5</v>
      </c>
      <c r="B745" t="s">
        <v>10</v>
      </c>
      <c r="C745">
        <v>93.541120000000006</v>
      </c>
      <c r="D745" s="1">
        <v>41730</v>
      </c>
    </row>
    <row r="746" spans="1:4" x14ac:dyDescent="0.25">
      <c r="A746" t="s">
        <v>5</v>
      </c>
      <c r="B746" t="s">
        <v>10</v>
      </c>
      <c r="C746">
        <v>96.744879999999995</v>
      </c>
      <c r="D746" s="1">
        <v>41760</v>
      </c>
    </row>
    <row r="747" spans="1:4" x14ac:dyDescent="0.25">
      <c r="A747" t="s">
        <v>5</v>
      </c>
      <c r="B747" t="s">
        <v>10</v>
      </c>
      <c r="C747">
        <v>89.915980000000005</v>
      </c>
      <c r="D747" s="1">
        <v>41791</v>
      </c>
    </row>
    <row r="748" spans="1:4" x14ac:dyDescent="0.25">
      <c r="A748" t="s">
        <v>5</v>
      </c>
      <c r="B748" t="s">
        <v>10</v>
      </c>
      <c r="C748">
        <v>100.03606000000001</v>
      </c>
      <c r="D748" s="1">
        <v>41821</v>
      </c>
    </row>
    <row r="749" spans="1:4" x14ac:dyDescent="0.25">
      <c r="A749" t="s">
        <v>5</v>
      </c>
      <c r="B749" t="s">
        <v>10</v>
      </c>
      <c r="C749">
        <v>98.066180000000003</v>
      </c>
      <c r="D749" s="1">
        <v>41852</v>
      </c>
    </row>
    <row r="750" spans="1:4" x14ac:dyDescent="0.25">
      <c r="A750" t="s">
        <v>5</v>
      </c>
      <c r="B750" t="s">
        <v>10</v>
      </c>
      <c r="C750">
        <v>97.597909999999999</v>
      </c>
      <c r="D750" s="1">
        <v>41883</v>
      </c>
    </row>
    <row r="751" spans="1:4" x14ac:dyDescent="0.25">
      <c r="A751" t="s">
        <v>5</v>
      </c>
      <c r="B751" t="s">
        <v>10</v>
      </c>
      <c r="C751">
        <v>99.225030000000004</v>
      </c>
      <c r="D751" s="1">
        <v>41913</v>
      </c>
    </row>
    <row r="752" spans="1:4" x14ac:dyDescent="0.25">
      <c r="A752" t="s">
        <v>5</v>
      </c>
      <c r="B752" t="s">
        <v>10</v>
      </c>
      <c r="C752">
        <v>95.863249999999994</v>
      </c>
      <c r="D752" s="1">
        <v>41944</v>
      </c>
    </row>
    <row r="753" spans="1:4" x14ac:dyDescent="0.25">
      <c r="A753" t="s">
        <v>5</v>
      </c>
      <c r="B753" t="s">
        <v>10</v>
      </c>
      <c r="C753">
        <v>95.744810000000001</v>
      </c>
      <c r="D753" s="1">
        <v>41974</v>
      </c>
    </row>
    <row r="754" spans="1:4" x14ac:dyDescent="0.25">
      <c r="A754" t="s">
        <v>5</v>
      </c>
      <c r="B754" t="s">
        <v>10</v>
      </c>
      <c r="C754">
        <v>84.020399999999995</v>
      </c>
      <c r="D754" s="1">
        <v>42005</v>
      </c>
    </row>
    <row r="755" spans="1:4" x14ac:dyDescent="0.25">
      <c r="A755" t="s">
        <v>5</v>
      </c>
      <c r="B755" t="s">
        <v>10</v>
      </c>
      <c r="C755">
        <v>79.450559999999996</v>
      </c>
      <c r="D755" s="1">
        <v>42036</v>
      </c>
    </row>
    <row r="756" spans="1:4" x14ac:dyDescent="0.25">
      <c r="A756" t="s">
        <v>5</v>
      </c>
      <c r="B756" t="s">
        <v>10</v>
      </c>
      <c r="C756">
        <v>93.731110000000001</v>
      </c>
      <c r="D756" s="1">
        <v>42064</v>
      </c>
    </row>
    <row r="757" spans="1:4" x14ac:dyDescent="0.25">
      <c r="A757" t="s">
        <v>5</v>
      </c>
      <c r="B757" t="s">
        <v>10</v>
      </c>
      <c r="C757">
        <v>87.622709999999998</v>
      </c>
      <c r="D757" s="1">
        <v>42095</v>
      </c>
    </row>
    <row r="758" spans="1:4" x14ac:dyDescent="0.25">
      <c r="A758" t="s">
        <v>5</v>
      </c>
      <c r="B758" t="s">
        <v>10</v>
      </c>
      <c r="C758">
        <v>90.994380000000007</v>
      </c>
      <c r="D758" s="1">
        <v>42125</v>
      </c>
    </row>
    <row r="759" spans="1:4" x14ac:dyDescent="0.25">
      <c r="A759" t="s">
        <v>5</v>
      </c>
      <c r="B759" t="s">
        <v>10</v>
      </c>
      <c r="C759">
        <v>86.684179999999998</v>
      </c>
      <c r="D759" s="1">
        <v>42156</v>
      </c>
    </row>
    <row r="760" spans="1:4" x14ac:dyDescent="0.25">
      <c r="A760" t="s">
        <v>5</v>
      </c>
      <c r="B760" t="s">
        <v>10</v>
      </c>
      <c r="C760">
        <v>91.576610000000002</v>
      </c>
      <c r="D760" s="1">
        <v>42186</v>
      </c>
    </row>
    <row r="761" spans="1:4" x14ac:dyDescent="0.25">
      <c r="A761" t="s">
        <v>5</v>
      </c>
      <c r="B761" t="s">
        <v>10</v>
      </c>
      <c r="C761">
        <v>93.805610000000001</v>
      </c>
      <c r="D761" s="1">
        <v>42217</v>
      </c>
    </row>
    <row r="762" spans="1:4" x14ac:dyDescent="0.25">
      <c r="A762" t="s">
        <v>5</v>
      </c>
      <c r="B762" t="s">
        <v>10</v>
      </c>
      <c r="C762">
        <v>91.362989999999996</v>
      </c>
      <c r="D762" s="1">
        <v>42248</v>
      </c>
    </row>
    <row r="763" spans="1:4" x14ac:dyDescent="0.25">
      <c r="A763" t="s">
        <v>5</v>
      </c>
      <c r="B763" t="s">
        <v>10</v>
      </c>
      <c r="C763">
        <v>92.621619999999993</v>
      </c>
      <c r="D763" s="1">
        <v>42278</v>
      </c>
    </row>
    <row r="764" spans="1:4" x14ac:dyDescent="0.25">
      <c r="A764" t="s">
        <v>5</v>
      </c>
      <c r="B764" t="s">
        <v>10</v>
      </c>
      <c r="C764">
        <v>87.756450000000001</v>
      </c>
      <c r="D764" s="1">
        <v>42309</v>
      </c>
    </row>
    <row r="765" spans="1:4" x14ac:dyDescent="0.25">
      <c r="A765" t="s">
        <v>5</v>
      </c>
      <c r="B765" t="s">
        <v>10</v>
      </c>
      <c r="C765">
        <v>89.145300000000006</v>
      </c>
      <c r="D765" s="1">
        <v>42339</v>
      </c>
    </row>
    <row r="766" spans="1:4" x14ac:dyDescent="0.25">
      <c r="A766" t="s">
        <v>5</v>
      </c>
      <c r="B766" t="s">
        <v>10</v>
      </c>
      <c r="C766">
        <v>79.121780000000001</v>
      </c>
      <c r="D766" s="1">
        <v>42370</v>
      </c>
    </row>
    <row r="767" spans="1:4" x14ac:dyDescent="0.25">
      <c r="A767" t="s">
        <v>5</v>
      </c>
      <c r="B767" t="s">
        <v>10</v>
      </c>
      <c r="C767">
        <v>77.819770000000005</v>
      </c>
      <c r="D767" s="1">
        <v>42401</v>
      </c>
    </row>
    <row r="768" spans="1:4" x14ac:dyDescent="0.25">
      <c r="A768" t="s">
        <v>5</v>
      </c>
      <c r="B768" t="s">
        <v>10</v>
      </c>
      <c r="C768">
        <v>86.982349999999997</v>
      </c>
      <c r="D768" s="1">
        <v>42430</v>
      </c>
    </row>
    <row r="769" spans="1:4" x14ac:dyDescent="0.25">
      <c r="A769" t="s">
        <v>5</v>
      </c>
      <c r="B769" t="s">
        <v>10</v>
      </c>
      <c r="C769">
        <v>81.280180000000001</v>
      </c>
      <c r="D769" s="1">
        <v>42461</v>
      </c>
    </row>
    <row r="770" spans="1:4" x14ac:dyDescent="0.25">
      <c r="A770" t="s">
        <v>5</v>
      </c>
      <c r="B770" t="s">
        <v>10</v>
      </c>
      <c r="C770">
        <v>82.754990000000006</v>
      </c>
      <c r="D770" s="1">
        <v>42491</v>
      </c>
    </row>
    <row r="771" spans="1:4" x14ac:dyDescent="0.25">
      <c r="A771" t="s">
        <v>5</v>
      </c>
      <c r="B771" t="s">
        <v>10</v>
      </c>
      <c r="C771">
        <v>83.554730000000006</v>
      </c>
      <c r="D771" s="1">
        <v>42522</v>
      </c>
    </row>
    <row r="772" spans="1:4" x14ac:dyDescent="0.25">
      <c r="A772" t="s">
        <v>5</v>
      </c>
      <c r="B772" t="s">
        <v>10</v>
      </c>
      <c r="C772">
        <v>83.617410000000007</v>
      </c>
      <c r="D772" s="1">
        <v>42552</v>
      </c>
    </row>
    <row r="773" spans="1:4" x14ac:dyDescent="0.25">
      <c r="A773" t="s">
        <v>5</v>
      </c>
      <c r="B773" t="s">
        <v>10</v>
      </c>
      <c r="C773">
        <v>85.391469999999998</v>
      </c>
      <c r="D773" s="1">
        <v>42583</v>
      </c>
    </row>
    <row r="774" spans="1:4" x14ac:dyDescent="0.25">
      <c r="A774" t="s">
        <v>5</v>
      </c>
      <c r="B774" t="s">
        <v>10</v>
      </c>
      <c r="C774">
        <v>83.098560000000006</v>
      </c>
      <c r="D774" s="1">
        <v>42614</v>
      </c>
    </row>
    <row r="775" spans="1:4" x14ac:dyDescent="0.25">
      <c r="A775" t="s">
        <v>5</v>
      </c>
      <c r="B775" t="s">
        <v>10</v>
      </c>
      <c r="C775">
        <v>80.257220000000004</v>
      </c>
      <c r="D775" s="1">
        <v>42644</v>
      </c>
    </row>
    <row r="776" spans="1:4" x14ac:dyDescent="0.25">
      <c r="A776" t="s">
        <v>5</v>
      </c>
      <c r="B776" t="s">
        <v>10</v>
      </c>
      <c r="C776">
        <v>80.839799999999997</v>
      </c>
      <c r="D776" s="1">
        <v>42675</v>
      </c>
    </row>
    <row r="777" spans="1:4" x14ac:dyDescent="0.25">
      <c r="A777" t="s">
        <v>5</v>
      </c>
      <c r="B777" t="s">
        <v>10</v>
      </c>
      <c r="C777">
        <v>82.710470000000001</v>
      </c>
      <c r="D777" s="1">
        <v>42705</v>
      </c>
    </row>
    <row r="778" spans="1:4" x14ac:dyDescent="0.25">
      <c r="A778" t="s">
        <v>5</v>
      </c>
      <c r="B778" t="s">
        <v>10</v>
      </c>
      <c r="C778">
        <v>76.795940000000002</v>
      </c>
      <c r="D778" s="1">
        <v>42736</v>
      </c>
    </row>
    <row r="779" spans="1:4" x14ac:dyDescent="0.25">
      <c r="A779" t="s">
        <v>5</v>
      </c>
      <c r="B779" t="s">
        <v>10</v>
      </c>
      <c r="C779">
        <v>74.029759999999996</v>
      </c>
      <c r="D779" s="1">
        <v>42767</v>
      </c>
    </row>
    <row r="780" spans="1:4" x14ac:dyDescent="0.25">
      <c r="A780" t="s">
        <v>5</v>
      </c>
      <c r="B780" t="s">
        <v>10</v>
      </c>
      <c r="C780">
        <v>85.313500000000005</v>
      </c>
      <c r="D780" s="1">
        <v>42795</v>
      </c>
    </row>
    <row r="781" spans="1:4" x14ac:dyDescent="0.25">
      <c r="A781" t="s">
        <v>5</v>
      </c>
      <c r="B781" t="s">
        <v>10</v>
      </c>
      <c r="C781">
        <v>80.060599999999994</v>
      </c>
      <c r="D781" s="1">
        <v>42826</v>
      </c>
    </row>
    <row r="782" spans="1:4" x14ac:dyDescent="0.25">
      <c r="A782" t="s">
        <v>5</v>
      </c>
      <c r="B782" t="s">
        <v>10</v>
      </c>
      <c r="C782">
        <v>86.338260000000005</v>
      </c>
      <c r="D782" s="1">
        <v>42856</v>
      </c>
    </row>
    <row r="783" spans="1:4" x14ac:dyDescent="0.25">
      <c r="A783" t="s">
        <v>5</v>
      </c>
      <c r="B783" t="s">
        <v>10</v>
      </c>
      <c r="C783">
        <v>85.312200000000004</v>
      </c>
      <c r="D783" s="1">
        <v>42887</v>
      </c>
    </row>
    <row r="784" spans="1:4" x14ac:dyDescent="0.25">
      <c r="A784" t="s">
        <v>5</v>
      </c>
      <c r="B784" t="s">
        <v>10</v>
      </c>
      <c r="C784">
        <v>86.108969999999999</v>
      </c>
      <c r="D784" s="1">
        <v>42917</v>
      </c>
    </row>
    <row r="785" spans="1:4" x14ac:dyDescent="0.25">
      <c r="A785" t="s">
        <v>5</v>
      </c>
      <c r="B785" t="s">
        <v>10</v>
      </c>
      <c r="C785">
        <v>89.892759999999996</v>
      </c>
      <c r="D785" s="1">
        <v>42948</v>
      </c>
    </row>
    <row r="786" spans="1:4" x14ac:dyDescent="0.25">
      <c r="A786" t="s">
        <v>5</v>
      </c>
      <c r="B786" t="s">
        <v>10</v>
      </c>
      <c r="C786">
        <v>85.92944</v>
      </c>
      <c r="D786" s="1">
        <v>42979</v>
      </c>
    </row>
    <row r="787" spans="1:4" x14ac:dyDescent="0.25">
      <c r="A787" t="s">
        <v>5</v>
      </c>
      <c r="B787" t="s">
        <v>10</v>
      </c>
      <c r="C787">
        <v>87.136080000000007</v>
      </c>
      <c r="D787" s="1">
        <v>43009</v>
      </c>
    </row>
    <row r="788" spans="1:4" x14ac:dyDescent="0.25">
      <c r="A788" t="s">
        <v>5</v>
      </c>
      <c r="B788" t="s">
        <v>10</v>
      </c>
      <c r="C788">
        <v>86.181200000000004</v>
      </c>
      <c r="D788" s="1">
        <v>43040</v>
      </c>
    </row>
    <row r="789" spans="1:4" x14ac:dyDescent="0.25">
      <c r="A789" t="s">
        <v>5</v>
      </c>
      <c r="B789" t="s">
        <v>10</v>
      </c>
      <c r="C789">
        <v>86.689139999999995</v>
      </c>
      <c r="D789" s="1">
        <v>43070</v>
      </c>
    </row>
    <row r="790" spans="1:4" x14ac:dyDescent="0.25">
      <c r="A790" t="s">
        <v>5</v>
      </c>
      <c r="B790" t="s">
        <v>10</v>
      </c>
      <c r="C790">
        <v>79.675330000000002</v>
      </c>
      <c r="D790" s="1">
        <v>43101</v>
      </c>
    </row>
    <row r="791" spans="1:4" x14ac:dyDescent="0.25">
      <c r="A791" t="s">
        <v>5</v>
      </c>
      <c r="B791" t="s">
        <v>10</v>
      </c>
      <c r="C791">
        <v>74.438860000000005</v>
      </c>
      <c r="D791" s="1">
        <v>43132</v>
      </c>
    </row>
    <row r="792" spans="1:4" x14ac:dyDescent="0.25">
      <c r="A792" t="s">
        <v>5</v>
      </c>
      <c r="B792" t="s">
        <v>10</v>
      </c>
      <c r="C792">
        <v>84.626189999999994</v>
      </c>
      <c r="D792" s="1">
        <v>43160</v>
      </c>
    </row>
    <row r="793" spans="1:4" x14ac:dyDescent="0.25">
      <c r="A793" t="s">
        <v>5</v>
      </c>
      <c r="B793" t="s">
        <v>10</v>
      </c>
      <c r="C793">
        <v>83.508160000000004</v>
      </c>
      <c r="D793" s="1">
        <v>43191</v>
      </c>
    </row>
    <row r="794" spans="1:4" x14ac:dyDescent="0.25">
      <c r="A794" t="s">
        <v>5</v>
      </c>
      <c r="B794" t="s">
        <v>10</v>
      </c>
      <c r="C794">
        <v>79.763980000000004</v>
      </c>
      <c r="D794" s="1">
        <v>43221</v>
      </c>
    </row>
    <row r="795" spans="1:4" x14ac:dyDescent="0.25">
      <c r="A795" t="s">
        <v>5</v>
      </c>
      <c r="B795" t="s">
        <v>10</v>
      </c>
      <c r="C795">
        <v>89.097070000000002</v>
      </c>
      <c r="D795" s="1">
        <v>43252</v>
      </c>
    </row>
    <row r="796" spans="1:4" x14ac:dyDescent="0.25">
      <c r="A796" t="s">
        <v>5</v>
      </c>
      <c r="B796" t="s">
        <v>10</v>
      </c>
      <c r="C796">
        <v>87.284570000000002</v>
      </c>
      <c r="D796" s="1">
        <v>43282</v>
      </c>
    </row>
    <row r="797" spans="1:4" x14ac:dyDescent="0.25">
      <c r="A797" t="s">
        <v>5</v>
      </c>
      <c r="B797" t="s">
        <v>10</v>
      </c>
      <c r="C797">
        <v>93.862729999999999</v>
      </c>
      <c r="D797" s="1">
        <v>43313</v>
      </c>
    </row>
    <row r="798" spans="1:4" x14ac:dyDescent="0.25">
      <c r="A798" t="s">
        <v>5</v>
      </c>
      <c r="B798" t="s">
        <v>10</v>
      </c>
      <c r="C798">
        <v>86.936880000000002</v>
      </c>
      <c r="D798" s="1">
        <v>43344</v>
      </c>
    </row>
    <row r="799" spans="1:4" x14ac:dyDescent="0.25">
      <c r="A799" t="s">
        <v>5</v>
      </c>
      <c r="B799" t="s">
        <v>10</v>
      </c>
      <c r="C799">
        <v>89.232919999999993</v>
      </c>
      <c r="D799" s="1">
        <v>43374</v>
      </c>
    </row>
    <row r="800" spans="1:4" x14ac:dyDescent="0.25">
      <c r="A800" t="s">
        <v>5</v>
      </c>
      <c r="B800" t="s">
        <v>10</v>
      </c>
      <c r="C800">
        <v>86.793700000000001</v>
      </c>
      <c r="D800" s="1">
        <v>43405</v>
      </c>
    </row>
    <row r="801" spans="1:4" x14ac:dyDescent="0.25">
      <c r="A801" t="s">
        <v>5</v>
      </c>
      <c r="B801" t="s">
        <v>10</v>
      </c>
      <c r="C801">
        <v>86.469220000000007</v>
      </c>
      <c r="D801" s="1">
        <v>43435</v>
      </c>
    </row>
    <row r="802" spans="1:4" x14ac:dyDescent="0.25">
      <c r="A802" t="s">
        <v>5</v>
      </c>
      <c r="B802" t="s">
        <v>10</v>
      </c>
      <c r="C802">
        <v>80.189779999999999</v>
      </c>
      <c r="D802" s="1">
        <v>43466</v>
      </c>
    </row>
    <row r="803" spans="1:4" x14ac:dyDescent="0.25">
      <c r="A803" t="s">
        <v>5</v>
      </c>
      <c r="B803" t="s">
        <v>10</v>
      </c>
      <c r="C803">
        <v>76.211479999999995</v>
      </c>
      <c r="D803" s="1">
        <v>43497</v>
      </c>
    </row>
    <row r="804" spans="1:4" x14ac:dyDescent="0.25">
      <c r="A804" t="s">
        <v>5</v>
      </c>
      <c r="B804" t="s">
        <v>10</v>
      </c>
      <c r="C804">
        <v>78.507350000000002</v>
      </c>
      <c r="D804" s="1">
        <v>43525</v>
      </c>
    </row>
    <row r="805" spans="1:4" x14ac:dyDescent="0.25">
      <c r="A805" t="s">
        <v>5</v>
      </c>
      <c r="B805" t="s">
        <v>10</v>
      </c>
      <c r="C805">
        <v>79.368639999999999</v>
      </c>
      <c r="D805" s="1">
        <v>43556</v>
      </c>
    </row>
    <row r="806" spans="1:4" x14ac:dyDescent="0.25">
      <c r="A806" t="s">
        <v>5</v>
      </c>
      <c r="B806" t="s">
        <v>10</v>
      </c>
      <c r="C806">
        <v>84.327740000000006</v>
      </c>
      <c r="D806" s="1">
        <v>43586</v>
      </c>
    </row>
    <row r="807" spans="1:4" x14ac:dyDescent="0.25">
      <c r="A807" t="s">
        <v>5</v>
      </c>
      <c r="B807" t="s">
        <v>10</v>
      </c>
      <c r="C807">
        <v>79.509259999999998</v>
      </c>
      <c r="D807" s="1">
        <v>43617</v>
      </c>
    </row>
    <row r="808" spans="1:4" x14ac:dyDescent="0.25">
      <c r="A808" t="s">
        <v>5</v>
      </c>
      <c r="B808" t="s">
        <v>10</v>
      </c>
      <c r="C808">
        <v>86.012200000000007</v>
      </c>
      <c r="D808" s="1">
        <v>43647</v>
      </c>
    </row>
    <row r="809" spans="1:4" x14ac:dyDescent="0.25">
      <c r="A809" t="s">
        <v>5</v>
      </c>
      <c r="B809" t="s">
        <v>10</v>
      </c>
      <c r="C809">
        <v>86.500879999999995</v>
      </c>
      <c r="D809" s="1">
        <v>43678</v>
      </c>
    </row>
    <row r="810" spans="1:4" x14ac:dyDescent="0.25">
      <c r="A810" t="s">
        <v>5</v>
      </c>
      <c r="B810" t="s">
        <v>10</v>
      </c>
      <c r="C810">
        <v>85.356930000000006</v>
      </c>
      <c r="D810" s="1">
        <v>43709</v>
      </c>
    </row>
    <row r="811" spans="1:4" x14ac:dyDescent="0.25">
      <c r="A811" t="s">
        <v>5</v>
      </c>
      <c r="B811" t="s">
        <v>10</v>
      </c>
      <c r="C811">
        <v>89.651079999999993</v>
      </c>
      <c r="D811" s="1">
        <v>43739</v>
      </c>
    </row>
    <row r="812" spans="1:4" x14ac:dyDescent="0.25">
      <c r="A812" t="s">
        <v>5</v>
      </c>
      <c r="B812" t="s">
        <v>10</v>
      </c>
      <c r="C812">
        <v>85.270139999999998</v>
      </c>
      <c r="D812" s="1">
        <v>43770</v>
      </c>
    </row>
    <row r="813" spans="1:4" x14ac:dyDescent="0.25">
      <c r="A813" t="s">
        <v>5</v>
      </c>
      <c r="B813" t="s">
        <v>10</v>
      </c>
      <c r="C813">
        <v>85.010739999999998</v>
      </c>
      <c r="D813" s="1">
        <v>43800</v>
      </c>
    </row>
    <row r="814" spans="1:4" x14ac:dyDescent="0.25">
      <c r="A814" t="s">
        <v>5</v>
      </c>
      <c r="B814" t="s">
        <v>10</v>
      </c>
      <c r="C814">
        <v>80.961569999999995</v>
      </c>
      <c r="D814" s="1">
        <v>43831</v>
      </c>
    </row>
    <row r="815" spans="1:4" x14ac:dyDescent="0.25">
      <c r="A815" t="s">
        <v>5</v>
      </c>
      <c r="B815" t="s">
        <v>10</v>
      </c>
      <c r="C815">
        <v>77.456239999999994</v>
      </c>
      <c r="D815" s="1">
        <v>43862</v>
      </c>
    </row>
    <row r="816" spans="1:4" x14ac:dyDescent="0.25">
      <c r="A816" t="s">
        <v>5</v>
      </c>
      <c r="B816" t="s">
        <v>10</v>
      </c>
      <c r="C816">
        <v>78.821870000000004</v>
      </c>
      <c r="D816" s="1">
        <v>43891</v>
      </c>
    </row>
    <row r="817" spans="1:4" x14ac:dyDescent="0.25">
      <c r="A817" t="s">
        <v>5</v>
      </c>
      <c r="B817" t="s">
        <v>10</v>
      </c>
      <c r="C817">
        <v>62.533999999999999</v>
      </c>
      <c r="D817" s="1">
        <v>43922</v>
      </c>
    </row>
    <row r="818" spans="1:4" x14ac:dyDescent="0.25">
      <c r="A818" t="s">
        <v>5</v>
      </c>
      <c r="B818" t="s">
        <v>10</v>
      </c>
      <c r="C818">
        <v>67.000559999999993</v>
      </c>
      <c r="D818" s="1">
        <v>43952</v>
      </c>
    </row>
    <row r="819" spans="1:4" x14ac:dyDescent="0.25">
      <c r="A819" t="s">
        <v>5</v>
      </c>
      <c r="B819" t="s">
        <v>10</v>
      </c>
      <c r="C819">
        <v>70.540279999999996</v>
      </c>
      <c r="D819" s="1">
        <v>43983</v>
      </c>
    </row>
    <row r="820" spans="1:4" x14ac:dyDescent="0.25">
      <c r="A820" t="s">
        <v>5</v>
      </c>
      <c r="B820" t="s">
        <v>10</v>
      </c>
      <c r="C820">
        <v>76.076859999999996</v>
      </c>
      <c r="D820" s="1">
        <v>44013</v>
      </c>
    </row>
    <row r="821" spans="1:4" x14ac:dyDescent="0.25">
      <c r="A821" t="s">
        <v>5</v>
      </c>
      <c r="B821" t="s">
        <v>10</v>
      </c>
      <c r="C821">
        <v>79.191609999999997</v>
      </c>
      <c r="D821" s="1">
        <v>44044</v>
      </c>
    </row>
    <row r="822" spans="1:4" x14ac:dyDescent="0.25">
      <c r="A822" t="s">
        <v>5</v>
      </c>
      <c r="B822" t="s">
        <v>10</v>
      </c>
      <c r="C822">
        <v>80.319389999999999</v>
      </c>
      <c r="D822" s="1">
        <v>44075</v>
      </c>
    </row>
    <row r="823" spans="1:4" x14ac:dyDescent="0.25">
      <c r="A823" t="s">
        <v>5</v>
      </c>
      <c r="B823" t="s">
        <v>10</v>
      </c>
      <c r="C823">
        <v>82.365759999999995</v>
      </c>
      <c r="D823" s="1">
        <v>44105</v>
      </c>
    </row>
    <row r="824" spans="1:4" x14ac:dyDescent="0.25">
      <c r="A824" t="s">
        <v>5</v>
      </c>
      <c r="B824" t="s">
        <v>10</v>
      </c>
      <c r="C824">
        <v>81.240279999999998</v>
      </c>
      <c r="D824" s="1">
        <v>44136</v>
      </c>
    </row>
    <row r="825" spans="1:4" x14ac:dyDescent="0.25">
      <c r="A825" t="s">
        <v>5</v>
      </c>
      <c r="B825" t="s">
        <v>10</v>
      </c>
      <c r="C825">
        <v>83.305350000000004</v>
      </c>
      <c r="D825" s="1">
        <v>44166</v>
      </c>
    </row>
    <row r="826" spans="1:4" x14ac:dyDescent="0.25">
      <c r="A826" t="s">
        <v>5</v>
      </c>
      <c r="B826" t="s">
        <v>10</v>
      </c>
      <c r="C826">
        <v>77.901240000000001</v>
      </c>
      <c r="D826" s="1">
        <v>44197</v>
      </c>
    </row>
    <row r="827" spans="1:4" x14ac:dyDescent="0.25">
      <c r="A827" t="s">
        <v>5</v>
      </c>
      <c r="B827" t="s">
        <v>10</v>
      </c>
      <c r="C827">
        <v>77.52937</v>
      </c>
      <c r="D827" s="1">
        <v>44228</v>
      </c>
    </row>
    <row r="828" spans="1:4" x14ac:dyDescent="0.25">
      <c r="A828" t="s">
        <v>5</v>
      </c>
      <c r="B828" t="s">
        <v>10</v>
      </c>
      <c r="C828">
        <v>85.757180000000005</v>
      </c>
      <c r="D828" s="1">
        <v>44256</v>
      </c>
    </row>
    <row r="829" spans="1:4" x14ac:dyDescent="0.25">
      <c r="A829" t="s">
        <v>5</v>
      </c>
      <c r="B829" t="s">
        <v>10</v>
      </c>
      <c r="C829">
        <v>81.908159999999995</v>
      </c>
      <c r="D829" s="1">
        <v>44287</v>
      </c>
    </row>
    <row r="830" spans="1:4" x14ac:dyDescent="0.25">
      <c r="A830" t="s">
        <v>5</v>
      </c>
      <c r="B830" t="s">
        <v>10</v>
      </c>
      <c r="C830">
        <v>88.83211</v>
      </c>
      <c r="D830" s="1">
        <v>44317</v>
      </c>
    </row>
    <row r="831" spans="1:4" x14ac:dyDescent="0.25">
      <c r="A831" t="s">
        <v>5</v>
      </c>
      <c r="B831" t="s">
        <v>10</v>
      </c>
      <c r="C831">
        <v>90.05001</v>
      </c>
      <c r="D831" s="1">
        <v>44348</v>
      </c>
    </row>
    <row r="832" spans="1:4" x14ac:dyDescent="0.25">
      <c r="A832" t="s">
        <v>5</v>
      </c>
      <c r="B832" t="s">
        <v>10</v>
      </c>
      <c r="C832">
        <v>92.047160000000005</v>
      </c>
      <c r="D832" s="1">
        <v>44378</v>
      </c>
    </row>
    <row r="833" spans="1:4" x14ac:dyDescent="0.25">
      <c r="A833" t="s">
        <v>5</v>
      </c>
      <c r="B833" t="s">
        <v>10</v>
      </c>
      <c r="C833">
        <v>94.491579999999999</v>
      </c>
      <c r="D833" s="1">
        <v>44409</v>
      </c>
    </row>
    <row r="834" spans="1:4" x14ac:dyDescent="0.25">
      <c r="A834" t="s">
        <v>5</v>
      </c>
      <c r="B834" t="s">
        <v>10</v>
      </c>
      <c r="C834">
        <v>91.360150000000004</v>
      </c>
      <c r="D834" s="1">
        <v>44440</v>
      </c>
    </row>
    <row r="835" spans="1:4" x14ac:dyDescent="0.25">
      <c r="A835" t="s">
        <v>5</v>
      </c>
      <c r="B835" t="s">
        <v>10</v>
      </c>
      <c r="C835">
        <v>90.545599999999993</v>
      </c>
      <c r="D835" s="1">
        <v>44470</v>
      </c>
    </row>
    <row r="836" spans="1:4" x14ac:dyDescent="0.25">
      <c r="A836" t="s">
        <v>5</v>
      </c>
      <c r="B836" t="s">
        <v>10</v>
      </c>
      <c r="C836">
        <v>92.340710000000001</v>
      </c>
      <c r="D836" s="1">
        <v>44501</v>
      </c>
    </row>
    <row r="837" spans="1:4" x14ac:dyDescent="0.25">
      <c r="A837" t="s">
        <v>5</v>
      </c>
      <c r="B837" t="s">
        <v>10</v>
      </c>
      <c r="C837">
        <v>96.405060000000006</v>
      </c>
      <c r="D837" s="1">
        <v>44531</v>
      </c>
    </row>
    <row r="838" spans="1:4" x14ac:dyDescent="0.25">
      <c r="A838" t="s">
        <v>5</v>
      </c>
      <c r="B838" t="s">
        <v>10</v>
      </c>
      <c r="C838">
        <v>89.68083</v>
      </c>
      <c r="D838" s="1">
        <v>44562</v>
      </c>
    </row>
    <row r="839" spans="1:4" x14ac:dyDescent="0.25">
      <c r="A839" t="s">
        <v>5</v>
      </c>
      <c r="B839" t="s">
        <v>10</v>
      </c>
      <c r="C839">
        <v>88.421710000000004</v>
      </c>
      <c r="D839" s="1">
        <v>44593</v>
      </c>
    </row>
    <row r="840" spans="1:4" x14ac:dyDescent="0.25">
      <c r="A840" t="s">
        <v>5</v>
      </c>
      <c r="B840" t="s">
        <v>10</v>
      </c>
      <c r="C840">
        <v>100.64192</v>
      </c>
      <c r="D840" s="1">
        <v>44621</v>
      </c>
    </row>
    <row r="841" spans="1:4" x14ac:dyDescent="0.25">
      <c r="A841" t="s">
        <v>5</v>
      </c>
      <c r="B841" t="s">
        <v>10</v>
      </c>
      <c r="C841">
        <v>94.722229999999996</v>
      </c>
      <c r="D841" s="1">
        <v>44652</v>
      </c>
    </row>
    <row r="842" spans="1:4" x14ac:dyDescent="0.25">
      <c r="A842" t="s">
        <v>5</v>
      </c>
      <c r="B842" t="s">
        <v>10</v>
      </c>
      <c r="C842">
        <v>99.385059999999996</v>
      </c>
      <c r="D842" s="1">
        <v>44682</v>
      </c>
    </row>
    <row r="843" spans="1:4" x14ac:dyDescent="0.25">
      <c r="A843" t="s">
        <v>5</v>
      </c>
      <c r="B843" t="s">
        <v>10</v>
      </c>
      <c r="C843">
        <v>99.139979999999994</v>
      </c>
      <c r="D843" s="1">
        <v>44713</v>
      </c>
    </row>
    <row r="844" spans="1:4" x14ac:dyDescent="0.25">
      <c r="A844" t="s">
        <v>5</v>
      </c>
      <c r="B844" t="s">
        <v>10</v>
      </c>
      <c r="C844">
        <v>103.91275</v>
      </c>
      <c r="D844" s="1">
        <v>44743</v>
      </c>
    </row>
    <row r="845" spans="1:4" x14ac:dyDescent="0.25">
      <c r="A845" t="s">
        <v>5</v>
      </c>
      <c r="B845" t="s">
        <v>10</v>
      </c>
      <c r="C845">
        <v>108.95581</v>
      </c>
      <c r="D845" s="1">
        <v>44774</v>
      </c>
    </row>
    <row r="846" spans="1:4" x14ac:dyDescent="0.25">
      <c r="A846" t="s">
        <v>5</v>
      </c>
      <c r="B846" t="s">
        <v>10</v>
      </c>
      <c r="C846">
        <v>105.08134</v>
      </c>
      <c r="D846" s="1">
        <v>44805</v>
      </c>
    </row>
    <row r="847" spans="1:4" x14ac:dyDescent="0.25">
      <c r="A847" t="s">
        <v>5</v>
      </c>
      <c r="B847" t="s">
        <v>10</v>
      </c>
      <c r="C847">
        <v>101.65676999999999</v>
      </c>
      <c r="D847" s="1">
        <v>44835</v>
      </c>
    </row>
    <row r="848" spans="1:4" x14ac:dyDescent="0.25">
      <c r="A848" t="s">
        <v>5</v>
      </c>
      <c r="B848" t="s">
        <v>10</v>
      </c>
      <c r="C848">
        <v>102.13943999999999</v>
      </c>
      <c r="D848" s="1">
        <v>44866</v>
      </c>
    </row>
    <row r="849" spans="1:4" x14ac:dyDescent="0.25">
      <c r="A849" t="s">
        <v>5</v>
      </c>
      <c r="B849" t="s">
        <v>10</v>
      </c>
      <c r="C849">
        <v>106.26215000000001</v>
      </c>
      <c r="D849" s="1">
        <v>44896</v>
      </c>
    </row>
    <row r="850" spans="1:4" x14ac:dyDescent="0.25">
      <c r="A850" t="s">
        <v>5</v>
      </c>
      <c r="B850" t="s">
        <v>10</v>
      </c>
      <c r="C850">
        <v>94.141990000000007</v>
      </c>
      <c r="D850" s="1">
        <v>44927</v>
      </c>
    </row>
    <row r="851" spans="1:4" x14ac:dyDescent="0.25">
      <c r="A851" t="s">
        <v>5</v>
      </c>
      <c r="B851" t="s">
        <v>10</v>
      </c>
      <c r="C851">
        <v>92.744280000000003</v>
      </c>
      <c r="D851" s="1">
        <v>44958</v>
      </c>
    </row>
    <row r="852" spans="1:4" x14ac:dyDescent="0.25">
      <c r="A852" t="s">
        <v>5</v>
      </c>
      <c r="B852" t="s">
        <v>10</v>
      </c>
      <c r="C852">
        <v>108.88903000000001</v>
      </c>
      <c r="D852" s="1">
        <v>44986</v>
      </c>
    </row>
    <row r="853" spans="1:4" x14ac:dyDescent="0.25">
      <c r="A853" t="s">
        <v>5</v>
      </c>
      <c r="B853" t="s">
        <v>10</v>
      </c>
      <c r="C853">
        <v>96.175780000000003</v>
      </c>
      <c r="D853" s="1">
        <v>45017</v>
      </c>
    </row>
    <row r="854" spans="1:4" x14ac:dyDescent="0.25">
      <c r="A854" t="s">
        <v>5</v>
      </c>
      <c r="B854" t="s">
        <v>10</v>
      </c>
      <c r="C854">
        <v>106.34228</v>
      </c>
      <c r="D854" s="1">
        <v>45047</v>
      </c>
    </row>
    <row r="855" spans="1:4" x14ac:dyDescent="0.25">
      <c r="A855" t="s">
        <v>5</v>
      </c>
      <c r="B855" t="s">
        <v>10</v>
      </c>
      <c r="C855">
        <v>103.67473</v>
      </c>
      <c r="D855" s="1">
        <v>45078</v>
      </c>
    </row>
    <row r="856" spans="1:4" x14ac:dyDescent="0.25">
      <c r="A856" t="s">
        <v>5</v>
      </c>
      <c r="B856" t="s">
        <v>10</v>
      </c>
      <c r="C856">
        <v>106.4256</v>
      </c>
      <c r="D856" s="1">
        <v>45108</v>
      </c>
    </row>
    <row r="857" spans="1:4" x14ac:dyDescent="0.25">
      <c r="A857" t="s">
        <v>5</v>
      </c>
      <c r="B857" t="s">
        <v>10</v>
      </c>
      <c r="C857">
        <v>107.88431</v>
      </c>
      <c r="D857" s="1">
        <v>45139</v>
      </c>
    </row>
    <row r="858" spans="1:4" x14ac:dyDescent="0.25">
      <c r="A858" t="s">
        <v>5</v>
      </c>
      <c r="B858" t="s">
        <v>10</v>
      </c>
      <c r="C858">
        <v>102.97417</v>
      </c>
      <c r="D858" s="1">
        <v>45170</v>
      </c>
    </row>
    <row r="859" spans="1:4" x14ac:dyDescent="0.25">
      <c r="A859" t="s">
        <v>5</v>
      </c>
      <c r="B859" t="s">
        <v>10</v>
      </c>
      <c r="C859">
        <v>100.70574999999999</v>
      </c>
      <c r="D859" s="1">
        <v>45200</v>
      </c>
    </row>
    <row r="860" spans="1:4" x14ac:dyDescent="0.25">
      <c r="A860" t="s">
        <v>5</v>
      </c>
      <c r="B860" t="s">
        <v>10</v>
      </c>
      <c r="C860">
        <v>98.421620000000004</v>
      </c>
      <c r="D860" s="1">
        <v>45231</v>
      </c>
    </row>
    <row r="861" spans="1:4" x14ac:dyDescent="0.25">
      <c r="A861" t="s">
        <v>5</v>
      </c>
      <c r="B861" t="s">
        <v>10</v>
      </c>
      <c r="C861">
        <v>99.862710000000007</v>
      </c>
      <c r="D861" s="1">
        <v>45261</v>
      </c>
    </row>
    <row r="862" spans="1:4" x14ac:dyDescent="0.25">
      <c r="A862" t="s">
        <v>5</v>
      </c>
      <c r="B862" t="s">
        <v>10</v>
      </c>
      <c r="C862">
        <v>95.927400000000006</v>
      </c>
      <c r="D862" s="1">
        <v>45292</v>
      </c>
    </row>
    <row r="863" spans="1:4" x14ac:dyDescent="0.25">
      <c r="A863" t="s">
        <v>5</v>
      </c>
      <c r="B863" t="s">
        <v>10</v>
      </c>
      <c r="C863">
        <v>91.976389999999995</v>
      </c>
      <c r="D863" s="1">
        <v>45323</v>
      </c>
    </row>
    <row r="864" spans="1:4" x14ac:dyDescent="0.25">
      <c r="A864" t="s">
        <v>5</v>
      </c>
      <c r="B864" t="s">
        <v>10</v>
      </c>
      <c r="C864">
        <v>97.708960000000005</v>
      </c>
      <c r="D864" s="1">
        <v>45352</v>
      </c>
    </row>
    <row r="865" spans="1:4" x14ac:dyDescent="0.25">
      <c r="A865" t="s">
        <v>5</v>
      </c>
      <c r="B865" t="s">
        <v>10</v>
      </c>
      <c r="C865">
        <v>99.414860000000004</v>
      </c>
      <c r="D865" s="1">
        <v>45383</v>
      </c>
    </row>
    <row r="866" spans="1:4" x14ac:dyDescent="0.25">
      <c r="A866" t="s">
        <v>5</v>
      </c>
      <c r="B866" t="s">
        <v>10</v>
      </c>
      <c r="C866">
        <v>101.35223000000001</v>
      </c>
      <c r="D866" s="1">
        <v>45413</v>
      </c>
    </row>
    <row r="867" spans="1:4" x14ac:dyDescent="0.25">
      <c r="A867" t="s">
        <v>5</v>
      </c>
      <c r="B867" t="s">
        <v>10</v>
      </c>
      <c r="C867">
        <v>101.04324</v>
      </c>
      <c r="D867" s="1">
        <v>45444</v>
      </c>
    </row>
    <row r="868" spans="1:4" x14ac:dyDescent="0.25">
      <c r="A868" t="s">
        <v>5</v>
      </c>
      <c r="B868" t="s">
        <v>10</v>
      </c>
      <c r="C868">
        <v>104.72772999999999</v>
      </c>
      <c r="D868" s="1">
        <v>45474</v>
      </c>
    </row>
    <row r="869" spans="1:4" x14ac:dyDescent="0.25">
      <c r="A869" t="s">
        <v>5</v>
      </c>
      <c r="B869" t="s">
        <v>10</v>
      </c>
      <c r="C869">
        <v>105.06892999999999</v>
      </c>
      <c r="D869" s="1">
        <v>45505</v>
      </c>
    </row>
    <row r="870" spans="1:4" x14ac:dyDescent="0.25">
      <c r="A870" t="s">
        <v>5</v>
      </c>
      <c r="B870" t="s">
        <v>10</v>
      </c>
      <c r="C870">
        <v>102.21120999999999</v>
      </c>
      <c r="D870" s="1">
        <v>45536</v>
      </c>
    </row>
    <row r="871" spans="1:4" x14ac:dyDescent="0.25">
      <c r="A871" t="s">
        <v>5</v>
      </c>
      <c r="B871" t="s">
        <v>10</v>
      </c>
      <c r="C871">
        <v>107.76057</v>
      </c>
      <c r="D871" s="1">
        <v>45566</v>
      </c>
    </row>
    <row r="872" spans="1:4" x14ac:dyDescent="0.25">
      <c r="A872" t="s">
        <v>5</v>
      </c>
      <c r="B872" t="s">
        <v>10</v>
      </c>
      <c r="C872">
        <v>100.13418</v>
      </c>
      <c r="D872" s="1">
        <v>45597</v>
      </c>
    </row>
    <row r="873" spans="1:4" x14ac:dyDescent="0.25">
      <c r="A873" t="s">
        <v>5</v>
      </c>
      <c r="B873" t="s">
        <v>10</v>
      </c>
      <c r="C873">
        <v>103.17937000000001</v>
      </c>
      <c r="D873" s="1">
        <v>45627</v>
      </c>
    </row>
    <row r="874" spans="1:4" x14ac:dyDescent="0.25">
      <c r="A874" t="s">
        <v>5</v>
      </c>
      <c r="B874" t="s">
        <v>10</v>
      </c>
      <c r="C874">
        <v>95.242199999999997</v>
      </c>
      <c r="D874" s="1">
        <v>45658</v>
      </c>
    </row>
    <row r="875" spans="1:4" x14ac:dyDescent="0.25">
      <c r="A875" t="s">
        <v>5</v>
      </c>
      <c r="B875" t="s">
        <v>10</v>
      </c>
      <c r="C875">
        <v>94.312089999999998</v>
      </c>
      <c r="D875" s="1">
        <v>45689</v>
      </c>
    </row>
    <row r="876" spans="1:4" x14ac:dyDescent="0.25">
      <c r="A876" t="s">
        <v>5</v>
      </c>
      <c r="B876" t="s">
        <v>10</v>
      </c>
      <c r="C876">
        <v>98.890460000000004</v>
      </c>
      <c r="D876" s="1">
        <v>45717</v>
      </c>
    </row>
    <row r="877" spans="1:4" x14ac:dyDescent="0.25">
      <c r="A877" t="s">
        <v>5</v>
      </c>
      <c r="B877" t="s">
        <v>10</v>
      </c>
      <c r="C877">
        <v>100.48217</v>
      </c>
      <c r="D877" s="1">
        <v>45748</v>
      </c>
    </row>
    <row r="878" spans="1:4" x14ac:dyDescent="0.25">
      <c r="A878" t="s">
        <v>5</v>
      </c>
      <c r="B878" t="s">
        <v>10</v>
      </c>
      <c r="C878">
        <v>105.05695</v>
      </c>
      <c r="D878" s="1">
        <v>45778</v>
      </c>
    </row>
    <row r="879" spans="1:4" x14ac:dyDescent="0.25">
      <c r="A879" t="s">
        <v>5</v>
      </c>
      <c r="B879" t="s">
        <v>10</v>
      </c>
      <c r="C879">
        <v>104.56505</v>
      </c>
      <c r="D879" s="1">
        <v>45809</v>
      </c>
    </row>
    <row r="880" spans="1:4" x14ac:dyDescent="0.25">
      <c r="A880" t="s">
        <v>5</v>
      </c>
      <c r="B880" t="s">
        <v>10</v>
      </c>
      <c r="C880">
        <v>109.27217</v>
      </c>
      <c r="D880" s="1">
        <v>45839</v>
      </c>
    </row>
    <row r="881" spans="1:4" x14ac:dyDescent="0.25">
      <c r="A881" t="s">
        <v>5</v>
      </c>
      <c r="B881" t="s">
        <v>10</v>
      </c>
      <c r="C881">
        <v>108.52016</v>
      </c>
      <c r="D881" s="1">
        <v>45870</v>
      </c>
    </row>
    <row r="882" spans="1:4" x14ac:dyDescent="0.25">
      <c r="A882" t="s">
        <v>5</v>
      </c>
      <c r="B882" t="s">
        <v>11</v>
      </c>
      <c r="C882">
        <v>105.95484</v>
      </c>
      <c r="D882" s="1">
        <v>40544</v>
      </c>
    </row>
    <row r="883" spans="1:4" x14ac:dyDescent="0.25">
      <c r="A883" t="s">
        <v>5</v>
      </c>
      <c r="B883" t="s">
        <v>11</v>
      </c>
      <c r="C883">
        <v>105.51536</v>
      </c>
      <c r="D883" s="1">
        <v>40575</v>
      </c>
    </row>
    <row r="884" spans="1:4" x14ac:dyDescent="0.25">
      <c r="A884" t="s">
        <v>5</v>
      </c>
      <c r="B884" t="s">
        <v>11</v>
      </c>
      <c r="C884">
        <v>107.93602</v>
      </c>
      <c r="D884" s="1">
        <v>40603</v>
      </c>
    </row>
    <row r="885" spans="1:4" x14ac:dyDescent="0.25">
      <c r="A885" t="s">
        <v>5</v>
      </c>
      <c r="B885" t="s">
        <v>11</v>
      </c>
      <c r="C885">
        <v>105.83538</v>
      </c>
      <c r="D885" s="1">
        <v>40634</v>
      </c>
    </row>
    <row r="886" spans="1:4" x14ac:dyDescent="0.25">
      <c r="A886" t="s">
        <v>5</v>
      </c>
      <c r="B886" t="s">
        <v>11</v>
      </c>
      <c r="C886">
        <v>112.23802000000001</v>
      </c>
      <c r="D886" s="1">
        <v>40664</v>
      </c>
    </row>
    <row r="887" spans="1:4" x14ac:dyDescent="0.25">
      <c r="A887" t="s">
        <v>5</v>
      </c>
      <c r="B887" t="s">
        <v>11</v>
      </c>
      <c r="C887">
        <v>108.19001</v>
      </c>
      <c r="D887" s="1">
        <v>40695</v>
      </c>
    </row>
    <row r="888" spans="1:4" x14ac:dyDescent="0.25">
      <c r="A888" t="s">
        <v>5</v>
      </c>
      <c r="B888" t="s">
        <v>11</v>
      </c>
      <c r="C888">
        <v>108.01366</v>
      </c>
      <c r="D888" s="1">
        <v>40725</v>
      </c>
    </row>
    <row r="889" spans="1:4" x14ac:dyDescent="0.25">
      <c r="A889" t="s">
        <v>5</v>
      </c>
      <c r="B889" t="s">
        <v>11</v>
      </c>
      <c r="C889">
        <v>113.28489999999999</v>
      </c>
      <c r="D889" s="1">
        <v>40756</v>
      </c>
    </row>
    <row r="890" spans="1:4" x14ac:dyDescent="0.25">
      <c r="A890" t="s">
        <v>5</v>
      </c>
      <c r="B890" t="s">
        <v>11</v>
      </c>
      <c r="C890">
        <v>107.17610000000001</v>
      </c>
      <c r="D890" s="1">
        <v>40787</v>
      </c>
    </row>
    <row r="891" spans="1:4" x14ac:dyDescent="0.25">
      <c r="A891" t="s">
        <v>5</v>
      </c>
      <c r="B891" t="s">
        <v>11</v>
      </c>
      <c r="C891">
        <v>105.35592</v>
      </c>
      <c r="D891" s="1">
        <v>40817</v>
      </c>
    </row>
    <row r="892" spans="1:4" x14ac:dyDescent="0.25">
      <c r="A892" t="s">
        <v>5</v>
      </c>
      <c r="B892" t="s">
        <v>11</v>
      </c>
      <c r="C892">
        <v>105.20918</v>
      </c>
      <c r="D892" s="1">
        <v>40848</v>
      </c>
    </row>
    <row r="893" spans="1:4" x14ac:dyDescent="0.25">
      <c r="A893" t="s">
        <v>5</v>
      </c>
      <c r="B893" t="s">
        <v>11</v>
      </c>
      <c r="C893">
        <v>116.20593</v>
      </c>
      <c r="D893" s="1">
        <v>40878</v>
      </c>
    </row>
    <row r="894" spans="1:4" x14ac:dyDescent="0.25">
      <c r="A894" t="s">
        <v>5</v>
      </c>
      <c r="B894" t="s">
        <v>11</v>
      </c>
      <c r="C894">
        <v>110.64773</v>
      </c>
      <c r="D894" s="1">
        <v>40909</v>
      </c>
    </row>
    <row r="895" spans="1:4" x14ac:dyDescent="0.25">
      <c r="A895" t="s">
        <v>5</v>
      </c>
      <c r="B895" t="s">
        <v>11</v>
      </c>
      <c r="C895">
        <v>104.71664</v>
      </c>
      <c r="D895" s="1">
        <v>40940</v>
      </c>
    </row>
    <row r="896" spans="1:4" x14ac:dyDescent="0.25">
      <c r="A896" t="s">
        <v>5</v>
      </c>
      <c r="B896" t="s">
        <v>11</v>
      </c>
      <c r="C896">
        <v>110.35917000000001</v>
      </c>
      <c r="D896" s="1">
        <v>40969</v>
      </c>
    </row>
    <row r="897" spans="1:4" x14ac:dyDescent="0.25">
      <c r="A897" t="s">
        <v>5</v>
      </c>
      <c r="B897" t="s">
        <v>11</v>
      </c>
      <c r="C897">
        <v>106.90689999999999</v>
      </c>
      <c r="D897" s="1">
        <v>41000</v>
      </c>
    </row>
    <row r="898" spans="1:4" x14ac:dyDescent="0.25">
      <c r="A898" t="s">
        <v>5</v>
      </c>
      <c r="B898" t="s">
        <v>11</v>
      </c>
      <c r="C898">
        <v>112.79971</v>
      </c>
      <c r="D898" s="1">
        <v>41030</v>
      </c>
    </row>
    <row r="899" spans="1:4" x14ac:dyDescent="0.25">
      <c r="A899" t="s">
        <v>5</v>
      </c>
      <c r="B899" t="s">
        <v>11</v>
      </c>
      <c r="C899">
        <v>107.90127</v>
      </c>
      <c r="D899" s="1">
        <v>41061</v>
      </c>
    </row>
    <row r="900" spans="1:4" x14ac:dyDescent="0.25">
      <c r="A900" t="s">
        <v>5</v>
      </c>
      <c r="B900" t="s">
        <v>11</v>
      </c>
      <c r="C900">
        <v>110.18733</v>
      </c>
      <c r="D900" s="1">
        <v>41091</v>
      </c>
    </row>
    <row r="901" spans="1:4" x14ac:dyDescent="0.25">
      <c r="A901" t="s">
        <v>5</v>
      </c>
      <c r="B901" t="s">
        <v>11</v>
      </c>
      <c r="C901">
        <v>109.86085</v>
      </c>
      <c r="D901" s="1">
        <v>41122</v>
      </c>
    </row>
    <row r="902" spans="1:4" x14ac:dyDescent="0.25">
      <c r="A902" t="s">
        <v>5</v>
      </c>
      <c r="B902" t="s">
        <v>11</v>
      </c>
      <c r="C902">
        <v>107.68734000000001</v>
      </c>
      <c r="D902" s="1">
        <v>41153</v>
      </c>
    </row>
    <row r="903" spans="1:4" x14ac:dyDescent="0.25">
      <c r="A903" t="s">
        <v>5</v>
      </c>
      <c r="B903" t="s">
        <v>11</v>
      </c>
      <c r="C903">
        <v>107.52204</v>
      </c>
      <c r="D903" s="1">
        <v>41183</v>
      </c>
    </row>
    <row r="904" spans="1:4" x14ac:dyDescent="0.25">
      <c r="A904" t="s">
        <v>5</v>
      </c>
      <c r="B904" t="s">
        <v>11</v>
      </c>
      <c r="C904">
        <v>102.44880999999999</v>
      </c>
      <c r="D904" s="1">
        <v>41214</v>
      </c>
    </row>
    <row r="905" spans="1:4" x14ac:dyDescent="0.25">
      <c r="A905" t="s">
        <v>5</v>
      </c>
      <c r="B905" t="s">
        <v>11</v>
      </c>
      <c r="C905">
        <v>118.41284</v>
      </c>
      <c r="D905" s="1">
        <v>41244</v>
      </c>
    </row>
    <row r="906" spans="1:4" x14ac:dyDescent="0.25">
      <c r="A906" t="s">
        <v>5</v>
      </c>
      <c r="B906" t="s">
        <v>11</v>
      </c>
      <c r="C906">
        <v>105.89988</v>
      </c>
      <c r="D906" s="1">
        <v>41275</v>
      </c>
    </row>
    <row r="907" spans="1:4" x14ac:dyDescent="0.25">
      <c r="A907" t="s">
        <v>5</v>
      </c>
      <c r="B907" t="s">
        <v>11</v>
      </c>
      <c r="C907">
        <v>101.54591000000001</v>
      </c>
      <c r="D907" s="1">
        <v>41306</v>
      </c>
    </row>
    <row r="908" spans="1:4" x14ac:dyDescent="0.25">
      <c r="A908" t="s">
        <v>5</v>
      </c>
      <c r="B908" t="s">
        <v>11</v>
      </c>
      <c r="C908">
        <v>105.16621000000001</v>
      </c>
      <c r="D908" s="1">
        <v>41334</v>
      </c>
    </row>
    <row r="909" spans="1:4" x14ac:dyDescent="0.25">
      <c r="A909" t="s">
        <v>5</v>
      </c>
      <c r="B909" t="s">
        <v>11</v>
      </c>
      <c r="C909">
        <v>106.81605999999999</v>
      </c>
      <c r="D909" s="1">
        <v>41365</v>
      </c>
    </row>
    <row r="910" spans="1:4" x14ac:dyDescent="0.25">
      <c r="A910" t="s">
        <v>5</v>
      </c>
      <c r="B910" t="s">
        <v>11</v>
      </c>
      <c r="C910">
        <v>106.80919</v>
      </c>
      <c r="D910" s="1">
        <v>41395</v>
      </c>
    </row>
    <row r="911" spans="1:4" x14ac:dyDescent="0.25">
      <c r="A911" t="s">
        <v>5</v>
      </c>
      <c r="B911" t="s">
        <v>11</v>
      </c>
      <c r="C911">
        <v>110.30513999999999</v>
      </c>
      <c r="D911" s="1">
        <v>41426</v>
      </c>
    </row>
    <row r="912" spans="1:4" x14ac:dyDescent="0.25">
      <c r="A912" t="s">
        <v>5</v>
      </c>
      <c r="B912" t="s">
        <v>11</v>
      </c>
      <c r="C912">
        <v>103.47714999999999</v>
      </c>
      <c r="D912" s="1">
        <v>41456</v>
      </c>
    </row>
    <row r="913" spans="1:4" x14ac:dyDescent="0.25">
      <c r="A913" t="s">
        <v>5</v>
      </c>
      <c r="B913" t="s">
        <v>11</v>
      </c>
      <c r="C913">
        <v>105.15303</v>
      </c>
      <c r="D913" s="1">
        <v>41487</v>
      </c>
    </row>
    <row r="914" spans="1:4" x14ac:dyDescent="0.25">
      <c r="A914" t="s">
        <v>5</v>
      </c>
      <c r="B914" t="s">
        <v>11</v>
      </c>
      <c r="C914">
        <v>106.20072</v>
      </c>
      <c r="D914" s="1">
        <v>41518</v>
      </c>
    </row>
    <row r="915" spans="1:4" x14ac:dyDescent="0.25">
      <c r="A915" t="s">
        <v>5</v>
      </c>
      <c r="B915" t="s">
        <v>11</v>
      </c>
      <c r="C915">
        <v>108.57848</v>
      </c>
      <c r="D915" s="1">
        <v>41548</v>
      </c>
    </row>
    <row r="916" spans="1:4" x14ac:dyDescent="0.25">
      <c r="A916" t="s">
        <v>5</v>
      </c>
      <c r="B916" t="s">
        <v>11</v>
      </c>
      <c r="C916">
        <v>103.0262</v>
      </c>
      <c r="D916" s="1">
        <v>41579</v>
      </c>
    </row>
    <row r="917" spans="1:4" x14ac:dyDescent="0.25">
      <c r="A917" t="s">
        <v>5</v>
      </c>
      <c r="B917" t="s">
        <v>11</v>
      </c>
      <c r="C917">
        <v>115.9367</v>
      </c>
      <c r="D917" s="1">
        <v>41609</v>
      </c>
    </row>
    <row r="918" spans="1:4" x14ac:dyDescent="0.25">
      <c r="A918" t="s">
        <v>5</v>
      </c>
      <c r="B918" t="s">
        <v>11</v>
      </c>
      <c r="C918">
        <v>104.45001000000001</v>
      </c>
      <c r="D918" s="1">
        <v>41640</v>
      </c>
    </row>
    <row r="919" spans="1:4" x14ac:dyDescent="0.25">
      <c r="A919" t="s">
        <v>5</v>
      </c>
      <c r="B919" t="s">
        <v>11</v>
      </c>
      <c r="C919">
        <v>99.91234</v>
      </c>
      <c r="D919" s="1">
        <v>41671</v>
      </c>
    </row>
    <row r="920" spans="1:4" x14ac:dyDescent="0.25">
      <c r="A920" t="s">
        <v>5</v>
      </c>
      <c r="B920" t="s">
        <v>11</v>
      </c>
      <c r="C920">
        <v>99.743080000000006</v>
      </c>
      <c r="D920" s="1">
        <v>41699</v>
      </c>
    </row>
    <row r="921" spans="1:4" x14ac:dyDescent="0.25">
      <c r="A921" t="s">
        <v>5</v>
      </c>
      <c r="B921" t="s">
        <v>11</v>
      </c>
      <c r="C921">
        <v>107.55127</v>
      </c>
      <c r="D921" s="1">
        <v>41730</v>
      </c>
    </row>
    <row r="922" spans="1:4" x14ac:dyDescent="0.25">
      <c r="A922" t="s">
        <v>5</v>
      </c>
      <c r="B922" t="s">
        <v>11</v>
      </c>
      <c r="C922">
        <v>103.66153</v>
      </c>
      <c r="D922" s="1">
        <v>41760</v>
      </c>
    </row>
    <row r="923" spans="1:4" x14ac:dyDescent="0.25">
      <c r="A923" t="s">
        <v>5</v>
      </c>
      <c r="B923" t="s">
        <v>11</v>
      </c>
      <c r="C923">
        <v>102.1163</v>
      </c>
      <c r="D923" s="1">
        <v>41791</v>
      </c>
    </row>
    <row r="924" spans="1:4" x14ac:dyDescent="0.25">
      <c r="A924" t="s">
        <v>5</v>
      </c>
      <c r="B924" t="s">
        <v>11</v>
      </c>
      <c r="C924">
        <v>103.21561</v>
      </c>
      <c r="D924" s="1">
        <v>41821</v>
      </c>
    </row>
    <row r="925" spans="1:4" x14ac:dyDescent="0.25">
      <c r="A925" t="s">
        <v>5</v>
      </c>
      <c r="B925" t="s">
        <v>11</v>
      </c>
      <c r="C925">
        <v>107.09969</v>
      </c>
      <c r="D925" s="1">
        <v>41852</v>
      </c>
    </row>
    <row r="926" spans="1:4" x14ac:dyDescent="0.25">
      <c r="A926" t="s">
        <v>5</v>
      </c>
      <c r="B926" t="s">
        <v>11</v>
      </c>
      <c r="C926">
        <v>106.49545000000001</v>
      </c>
      <c r="D926" s="1">
        <v>41883</v>
      </c>
    </row>
    <row r="927" spans="1:4" x14ac:dyDescent="0.25">
      <c r="A927" t="s">
        <v>5</v>
      </c>
      <c r="B927" t="s">
        <v>11</v>
      </c>
      <c r="C927">
        <v>111.32777</v>
      </c>
      <c r="D927" s="1">
        <v>41913</v>
      </c>
    </row>
    <row r="928" spans="1:4" x14ac:dyDescent="0.25">
      <c r="A928" t="s">
        <v>5</v>
      </c>
      <c r="B928" t="s">
        <v>11</v>
      </c>
      <c r="C928">
        <v>100.96921</v>
      </c>
      <c r="D928" s="1">
        <v>41944</v>
      </c>
    </row>
    <row r="929" spans="1:4" x14ac:dyDescent="0.25">
      <c r="A929" t="s">
        <v>5</v>
      </c>
      <c r="B929" t="s">
        <v>11</v>
      </c>
      <c r="C929">
        <v>110.44479</v>
      </c>
      <c r="D929" s="1">
        <v>41974</v>
      </c>
    </row>
    <row r="930" spans="1:4" x14ac:dyDescent="0.25">
      <c r="A930" t="s">
        <v>5</v>
      </c>
      <c r="B930" t="s">
        <v>11</v>
      </c>
      <c r="C930">
        <v>95.612750000000005</v>
      </c>
      <c r="D930" s="1">
        <v>42005</v>
      </c>
    </row>
    <row r="931" spans="1:4" x14ac:dyDescent="0.25">
      <c r="A931" t="s">
        <v>5</v>
      </c>
      <c r="B931" t="s">
        <v>11</v>
      </c>
      <c r="C931">
        <v>91.45823</v>
      </c>
      <c r="D931" s="1">
        <v>42036</v>
      </c>
    </row>
    <row r="932" spans="1:4" x14ac:dyDescent="0.25">
      <c r="A932" t="s">
        <v>5</v>
      </c>
      <c r="B932" t="s">
        <v>11</v>
      </c>
      <c r="C932">
        <v>97.058310000000006</v>
      </c>
      <c r="D932" s="1">
        <v>42064</v>
      </c>
    </row>
    <row r="933" spans="1:4" x14ac:dyDescent="0.25">
      <c r="A933" t="s">
        <v>5</v>
      </c>
      <c r="B933" t="s">
        <v>11</v>
      </c>
      <c r="C933">
        <v>96.884979999999999</v>
      </c>
      <c r="D933" s="1">
        <v>42095</v>
      </c>
    </row>
    <row r="934" spans="1:4" x14ac:dyDescent="0.25">
      <c r="A934" t="s">
        <v>5</v>
      </c>
      <c r="B934" t="s">
        <v>11</v>
      </c>
      <c r="C934">
        <v>96.02758</v>
      </c>
      <c r="D934" s="1">
        <v>42125</v>
      </c>
    </row>
    <row r="935" spans="1:4" x14ac:dyDescent="0.25">
      <c r="A935" t="s">
        <v>5</v>
      </c>
      <c r="B935" t="s">
        <v>11</v>
      </c>
      <c r="C935">
        <v>94.75421</v>
      </c>
      <c r="D935" s="1">
        <v>42156</v>
      </c>
    </row>
    <row r="936" spans="1:4" x14ac:dyDescent="0.25">
      <c r="A936" t="s">
        <v>5</v>
      </c>
      <c r="B936" t="s">
        <v>11</v>
      </c>
      <c r="C936">
        <v>94.075410000000005</v>
      </c>
      <c r="D936" s="1">
        <v>42186</v>
      </c>
    </row>
    <row r="937" spans="1:4" x14ac:dyDescent="0.25">
      <c r="A937" t="s">
        <v>5</v>
      </c>
      <c r="B937" t="s">
        <v>11</v>
      </c>
      <c r="C937">
        <v>93.651610000000005</v>
      </c>
      <c r="D937" s="1">
        <v>42217</v>
      </c>
    </row>
    <row r="938" spans="1:4" x14ac:dyDescent="0.25">
      <c r="A938" t="s">
        <v>5</v>
      </c>
      <c r="B938" t="s">
        <v>11</v>
      </c>
      <c r="C938">
        <v>95.957920000000001</v>
      </c>
      <c r="D938" s="1">
        <v>42248</v>
      </c>
    </row>
    <row r="939" spans="1:4" x14ac:dyDescent="0.25">
      <c r="A939" t="s">
        <v>5</v>
      </c>
      <c r="B939" t="s">
        <v>11</v>
      </c>
      <c r="C939">
        <v>95.960819999999998</v>
      </c>
      <c r="D939" s="1">
        <v>42278</v>
      </c>
    </row>
    <row r="940" spans="1:4" x14ac:dyDescent="0.25">
      <c r="A940" t="s">
        <v>5</v>
      </c>
      <c r="B940" t="s">
        <v>11</v>
      </c>
      <c r="C940">
        <v>93.229190000000003</v>
      </c>
      <c r="D940" s="1">
        <v>42309</v>
      </c>
    </row>
    <row r="941" spans="1:4" x14ac:dyDescent="0.25">
      <c r="A941" t="s">
        <v>5</v>
      </c>
      <c r="B941" t="s">
        <v>11</v>
      </c>
      <c r="C941">
        <v>99.104069999999993</v>
      </c>
      <c r="D941" s="1">
        <v>42339</v>
      </c>
    </row>
    <row r="942" spans="1:4" x14ac:dyDescent="0.25">
      <c r="A942" t="s">
        <v>5</v>
      </c>
      <c r="B942" t="s">
        <v>11</v>
      </c>
      <c r="C942">
        <v>88.021780000000007</v>
      </c>
      <c r="D942" s="1">
        <v>42370</v>
      </c>
    </row>
    <row r="943" spans="1:4" x14ac:dyDescent="0.25">
      <c r="A943" t="s">
        <v>5</v>
      </c>
      <c r="B943" t="s">
        <v>11</v>
      </c>
      <c r="C943">
        <v>85.904430000000005</v>
      </c>
      <c r="D943" s="1">
        <v>42401</v>
      </c>
    </row>
    <row r="944" spans="1:4" x14ac:dyDescent="0.25">
      <c r="A944" t="s">
        <v>5</v>
      </c>
      <c r="B944" t="s">
        <v>11</v>
      </c>
      <c r="C944">
        <v>99.507549999999995</v>
      </c>
      <c r="D944" s="1">
        <v>42430</v>
      </c>
    </row>
    <row r="945" spans="1:4" x14ac:dyDescent="0.25">
      <c r="A945" t="s">
        <v>5</v>
      </c>
      <c r="B945" t="s">
        <v>11</v>
      </c>
      <c r="C945">
        <v>93.688289999999995</v>
      </c>
      <c r="D945" s="1">
        <v>42461</v>
      </c>
    </row>
    <row r="946" spans="1:4" x14ac:dyDescent="0.25">
      <c r="A946" t="s">
        <v>5</v>
      </c>
      <c r="B946" t="s">
        <v>11</v>
      </c>
      <c r="C946">
        <v>90.072190000000006</v>
      </c>
      <c r="D946" s="1">
        <v>42491</v>
      </c>
    </row>
    <row r="947" spans="1:4" x14ac:dyDescent="0.25">
      <c r="A947" t="s">
        <v>5</v>
      </c>
      <c r="B947" t="s">
        <v>11</v>
      </c>
      <c r="C947">
        <v>92.718019999999996</v>
      </c>
      <c r="D947" s="1">
        <v>42522</v>
      </c>
    </row>
    <row r="948" spans="1:4" x14ac:dyDescent="0.25">
      <c r="A948" t="s">
        <v>5</v>
      </c>
      <c r="B948" t="s">
        <v>11</v>
      </c>
      <c r="C948">
        <v>93.313739999999996</v>
      </c>
      <c r="D948" s="1">
        <v>42552</v>
      </c>
    </row>
    <row r="949" spans="1:4" x14ac:dyDescent="0.25">
      <c r="A949" t="s">
        <v>5</v>
      </c>
      <c r="B949" t="s">
        <v>11</v>
      </c>
      <c r="C949">
        <v>93.355029999999999</v>
      </c>
      <c r="D949" s="1">
        <v>42583</v>
      </c>
    </row>
    <row r="950" spans="1:4" x14ac:dyDescent="0.25">
      <c r="A950" t="s">
        <v>5</v>
      </c>
      <c r="B950" t="s">
        <v>11</v>
      </c>
      <c r="C950">
        <v>91.266480000000001</v>
      </c>
      <c r="D950" s="1">
        <v>42614</v>
      </c>
    </row>
    <row r="951" spans="1:4" x14ac:dyDescent="0.25">
      <c r="A951" t="s">
        <v>5</v>
      </c>
      <c r="B951" t="s">
        <v>11</v>
      </c>
      <c r="C951">
        <v>91.650229999999993</v>
      </c>
      <c r="D951" s="1">
        <v>42644</v>
      </c>
    </row>
    <row r="952" spans="1:4" x14ac:dyDescent="0.25">
      <c r="A952" t="s">
        <v>5</v>
      </c>
      <c r="B952" t="s">
        <v>11</v>
      </c>
      <c r="C952">
        <v>92.991209999999995</v>
      </c>
      <c r="D952" s="1">
        <v>42675</v>
      </c>
    </row>
    <row r="953" spans="1:4" x14ac:dyDescent="0.25">
      <c r="A953" t="s">
        <v>5</v>
      </c>
      <c r="B953" t="s">
        <v>11</v>
      </c>
      <c r="C953">
        <v>99.724789999999999</v>
      </c>
      <c r="D953" s="1">
        <v>42705</v>
      </c>
    </row>
    <row r="954" spans="1:4" x14ac:dyDescent="0.25">
      <c r="A954" t="s">
        <v>5</v>
      </c>
      <c r="B954" t="s">
        <v>11</v>
      </c>
      <c r="C954">
        <v>82.985439999999997</v>
      </c>
      <c r="D954" s="1">
        <v>42736</v>
      </c>
    </row>
    <row r="955" spans="1:4" x14ac:dyDescent="0.25">
      <c r="A955" t="s">
        <v>5</v>
      </c>
      <c r="B955" t="s">
        <v>11</v>
      </c>
      <c r="C955">
        <v>79.558899999999994</v>
      </c>
      <c r="D955" s="1">
        <v>42767</v>
      </c>
    </row>
    <row r="956" spans="1:4" x14ac:dyDescent="0.25">
      <c r="A956" t="s">
        <v>5</v>
      </c>
      <c r="B956" t="s">
        <v>11</v>
      </c>
      <c r="C956">
        <v>84.844309999999993</v>
      </c>
      <c r="D956" s="1">
        <v>42795</v>
      </c>
    </row>
    <row r="957" spans="1:4" x14ac:dyDescent="0.25">
      <c r="A957" t="s">
        <v>5</v>
      </c>
      <c r="B957" t="s">
        <v>11</v>
      </c>
      <c r="C957">
        <v>78.158280000000005</v>
      </c>
      <c r="D957" s="1">
        <v>42826</v>
      </c>
    </row>
    <row r="958" spans="1:4" x14ac:dyDescent="0.25">
      <c r="A958" t="s">
        <v>5</v>
      </c>
      <c r="B958" t="s">
        <v>11</v>
      </c>
      <c r="C958">
        <v>84.511970000000005</v>
      </c>
      <c r="D958" s="1">
        <v>42856</v>
      </c>
    </row>
    <row r="959" spans="1:4" x14ac:dyDescent="0.25">
      <c r="A959" t="s">
        <v>5</v>
      </c>
      <c r="B959" t="s">
        <v>11</v>
      </c>
      <c r="C959">
        <v>84.254320000000007</v>
      </c>
      <c r="D959" s="1">
        <v>42887</v>
      </c>
    </row>
    <row r="960" spans="1:4" x14ac:dyDescent="0.25">
      <c r="A960" t="s">
        <v>5</v>
      </c>
      <c r="B960" t="s">
        <v>11</v>
      </c>
      <c r="C960">
        <v>82.635249999999999</v>
      </c>
      <c r="D960" s="1">
        <v>42917</v>
      </c>
    </row>
    <row r="961" spans="1:4" x14ac:dyDescent="0.25">
      <c r="A961" t="s">
        <v>5</v>
      </c>
      <c r="B961" t="s">
        <v>11</v>
      </c>
      <c r="C961">
        <v>85.282820000000001</v>
      </c>
      <c r="D961" s="1">
        <v>42948</v>
      </c>
    </row>
    <row r="962" spans="1:4" x14ac:dyDescent="0.25">
      <c r="A962" t="s">
        <v>5</v>
      </c>
      <c r="B962" t="s">
        <v>11</v>
      </c>
      <c r="C962">
        <v>86.031790000000001</v>
      </c>
      <c r="D962" s="1">
        <v>42979</v>
      </c>
    </row>
    <row r="963" spans="1:4" x14ac:dyDescent="0.25">
      <c r="A963" t="s">
        <v>5</v>
      </c>
      <c r="B963" t="s">
        <v>11</v>
      </c>
      <c r="C963">
        <v>87.064350000000005</v>
      </c>
      <c r="D963" s="1">
        <v>43009</v>
      </c>
    </row>
    <row r="964" spans="1:4" x14ac:dyDescent="0.25">
      <c r="A964" t="s">
        <v>5</v>
      </c>
      <c r="B964" t="s">
        <v>11</v>
      </c>
      <c r="C964">
        <v>83.673450000000003</v>
      </c>
      <c r="D964" s="1">
        <v>43040</v>
      </c>
    </row>
    <row r="965" spans="1:4" x14ac:dyDescent="0.25">
      <c r="A965" t="s">
        <v>5</v>
      </c>
      <c r="B965" t="s">
        <v>11</v>
      </c>
      <c r="C965">
        <v>94.21387</v>
      </c>
      <c r="D965" s="1">
        <v>43070</v>
      </c>
    </row>
    <row r="966" spans="1:4" x14ac:dyDescent="0.25">
      <c r="A966" t="s">
        <v>5</v>
      </c>
      <c r="B966" t="s">
        <v>11</v>
      </c>
      <c r="C966">
        <v>84.324659999999994</v>
      </c>
      <c r="D966" s="1">
        <v>43101</v>
      </c>
    </row>
    <row r="967" spans="1:4" x14ac:dyDescent="0.25">
      <c r="A967" t="s">
        <v>5</v>
      </c>
      <c r="B967" t="s">
        <v>11</v>
      </c>
      <c r="C967">
        <v>80.883769999999998</v>
      </c>
      <c r="D967" s="1">
        <v>43132</v>
      </c>
    </row>
    <row r="968" spans="1:4" x14ac:dyDescent="0.25">
      <c r="A968" t="s">
        <v>5</v>
      </c>
      <c r="B968" t="s">
        <v>11</v>
      </c>
      <c r="C968">
        <v>86.733750000000001</v>
      </c>
      <c r="D968" s="1">
        <v>43160</v>
      </c>
    </row>
    <row r="969" spans="1:4" x14ac:dyDescent="0.25">
      <c r="A969" t="s">
        <v>5</v>
      </c>
      <c r="B969" t="s">
        <v>11</v>
      </c>
      <c r="C969">
        <v>85.372370000000004</v>
      </c>
      <c r="D969" s="1">
        <v>43191</v>
      </c>
    </row>
    <row r="970" spans="1:4" x14ac:dyDescent="0.25">
      <c r="A970" t="s">
        <v>5</v>
      </c>
      <c r="B970" t="s">
        <v>11</v>
      </c>
      <c r="C970">
        <v>83.115409999999997</v>
      </c>
      <c r="D970" s="1">
        <v>43221</v>
      </c>
    </row>
    <row r="971" spans="1:4" x14ac:dyDescent="0.25">
      <c r="A971" t="s">
        <v>5</v>
      </c>
      <c r="B971" t="s">
        <v>11</v>
      </c>
      <c r="C971">
        <v>87.045969999999997</v>
      </c>
      <c r="D971" s="1">
        <v>43252</v>
      </c>
    </row>
    <row r="972" spans="1:4" x14ac:dyDescent="0.25">
      <c r="A972" t="s">
        <v>5</v>
      </c>
      <c r="B972" t="s">
        <v>11</v>
      </c>
      <c r="C972">
        <v>83.467870000000005</v>
      </c>
      <c r="D972" s="1">
        <v>43282</v>
      </c>
    </row>
    <row r="973" spans="1:4" x14ac:dyDescent="0.25">
      <c r="A973" t="s">
        <v>5</v>
      </c>
      <c r="B973" t="s">
        <v>11</v>
      </c>
      <c r="C973">
        <v>86.348519999999994</v>
      </c>
      <c r="D973" s="1">
        <v>43313</v>
      </c>
    </row>
    <row r="974" spans="1:4" x14ac:dyDescent="0.25">
      <c r="A974" t="s">
        <v>5</v>
      </c>
      <c r="B974" t="s">
        <v>11</v>
      </c>
      <c r="C974">
        <v>82.49006</v>
      </c>
      <c r="D974" s="1">
        <v>43344</v>
      </c>
    </row>
    <row r="975" spans="1:4" x14ac:dyDescent="0.25">
      <c r="A975" t="s">
        <v>5</v>
      </c>
      <c r="B975" t="s">
        <v>11</v>
      </c>
      <c r="C975">
        <v>89.261719999999997</v>
      </c>
      <c r="D975" s="1">
        <v>43374</v>
      </c>
    </row>
    <row r="976" spans="1:4" x14ac:dyDescent="0.25">
      <c r="A976" t="s">
        <v>5</v>
      </c>
      <c r="B976" t="s">
        <v>11</v>
      </c>
      <c r="C976">
        <v>86.857709999999997</v>
      </c>
      <c r="D976" s="1">
        <v>43405</v>
      </c>
    </row>
    <row r="977" spans="1:4" x14ac:dyDescent="0.25">
      <c r="A977" t="s">
        <v>5</v>
      </c>
      <c r="B977" t="s">
        <v>11</v>
      </c>
      <c r="C977">
        <v>96.487870000000001</v>
      </c>
      <c r="D977" s="1">
        <v>43435</v>
      </c>
    </row>
    <row r="978" spans="1:4" x14ac:dyDescent="0.25">
      <c r="A978" t="s">
        <v>5</v>
      </c>
      <c r="B978" t="s">
        <v>11</v>
      </c>
      <c r="C978">
        <v>89.125680000000003</v>
      </c>
      <c r="D978" s="1">
        <v>43466</v>
      </c>
    </row>
    <row r="979" spans="1:4" x14ac:dyDescent="0.25">
      <c r="A979" t="s">
        <v>5</v>
      </c>
      <c r="B979" t="s">
        <v>11</v>
      </c>
      <c r="C979">
        <v>85.316680000000005</v>
      </c>
      <c r="D979" s="1">
        <v>43497</v>
      </c>
    </row>
    <row r="980" spans="1:4" x14ac:dyDescent="0.25">
      <c r="A980" t="s">
        <v>5</v>
      </c>
      <c r="B980" t="s">
        <v>11</v>
      </c>
      <c r="C980">
        <v>85.676050000000004</v>
      </c>
      <c r="D980" s="1">
        <v>43525</v>
      </c>
    </row>
    <row r="981" spans="1:4" x14ac:dyDescent="0.25">
      <c r="A981" t="s">
        <v>5</v>
      </c>
      <c r="B981" t="s">
        <v>11</v>
      </c>
      <c r="C981">
        <v>86.233729999999994</v>
      </c>
      <c r="D981" s="1">
        <v>43556</v>
      </c>
    </row>
    <row r="982" spans="1:4" x14ac:dyDescent="0.25">
      <c r="A982" t="s">
        <v>5</v>
      </c>
      <c r="B982" t="s">
        <v>11</v>
      </c>
      <c r="C982">
        <v>90.638170000000002</v>
      </c>
      <c r="D982" s="1">
        <v>43586</v>
      </c>
    </row>
    <row r="983" spans="1:4" x14ac:dyDescent="0.25">
      <c r="A983" t="s">
        <v>5</v>
      </c>
      <c r="B983" t="s">
        <v>11</v>
      </c>
      <c r="C983">
        <v>87.786540000000002</v>
      </c>
      <c r="D983" s="1">
        <v>43617</v>
      </c>
    </row>
    <row r="984" spans="1:4" x14ac:dyDescent="0.25">
      <c r="A984" t="s">
        <v>5</v>
      </c>
      <c r="B984" t="s">
        <v>11</v>
      </c>
      <c r="C984">
        <v>92.123639999999995</v>
      </c>
      <c r="D984" s="1">
        <v>43647</v>
      </c>
    </row>
    <row r="985" spans="1:4" x14ac:dyDescent="0.25">
      <c r="A985" t="s">
        <v>5</v>
      </c>
      <c r="B985" t="s">
        <v>11</v>
      </c>
      <c r="C985">
        <v>91.267160000000004</v>
      </c>
      <c r="D985" s="1">
        <v>43678</v>
      </c>
    </row>
    <row r="986" spans="1:4" x14ac:dyDescent="0.25">
      <c r="A986" t="s">
        <v>5</v>
      </c>
      <c r="B986" t="s">
        <v>11</v>
      </c>
      <c r="C986">
        <v>91.594740000000002</v>
      </c>
      <c r="D986" s="1">
        <v>43709</v>
      </c>
    </row>
    <row r="987" spans="1:4" x14ac:dyDescent="0.25">
      <c r="A987" t="s">
        <v>5</v>
      </c>
      <c r="B987" t="s">
        <v>11</v>
      </c>
      <c r="C987">
        <v>93.045389999999998</v>
      </c>
      <c r="D987" s="1">
        <v>43739</v>
      </c>
    </row>
    <row r="988" spans="1:4" x14ac:dyDescent="0.25">
      <c r="A988" t="s">
        <v>5</v>
      </c>
      <c r="B988" t="s">
        <v>11</v>
      </c>
      <c r="C988">
        <v>92.608220000000003</v>
      </c>
      <c r="D988" s="1">
        <v>43770</v>
      </c>
    </row>
    <row r="989" spans="1:4" x14ac:dyDescent="0.25">
      <c r="A989" t="s">
        <v>5</v>
      </c>
      <c r="B989" t="s">
        <v>11</v>
      </c>
      <c r="C989">
        <v>107.55343000000001</v>
      </c>
      <c r="D989" s="1">
        <v>43800</v>
      </c>
    </row>
    <row r="990" spans="1:4" x14ac:dyDescent="0.25">
      <c r="A990" t="s">
        <v>5</v>
      </c>
      <c r="B990" t="s">
        <v>11</v>
      </c>
      <c r="C990">
        <v>97.78922</v>
      </c>
      <c r="D990" s="1">
        <v>43831</v>
      </c>
    </row>
    <row r="991" spans="1:4" x14ac:dyDescent="0.25">
      <c r="A991" t="s">
        <v>5</v>
      </c>
      <c r="B991" t="s">
        <v>11</v>
      </c>
      <c r="C991">
        <v>93.215249999999997</v>
      </c>
      <c r="D991" s="1">
        <v>43862</v>
      </c>
    </row>
    <row r="992" spans="1:4" x14ac:dyDescent="0.25">
      <c r="A992" t="s">
        <v>5</v>
      </c>
      <c r="B992" t="s">
        <v>11</v>
      </c>
      <c r="C992">
        <v>97.671930000000003</v>
      </c>
      <c r="D992" s="1">
        <v>43891</v>
      </c>
    </row>
    <row r="993" spans="1:4" x14ac:dyDescent="0.25">
      <c r="A993" t="s">
        <v>5</v>
      </c>
      <c r="B993" t="s">
        <v>11</v>
      </c>
      <c r="C993">
        <v>86.897989999999993</v>
      </c>
      <c r="D993" s="1">
        <v>43922</v>
      </c>
    </row>
    <row r="994" spans="1:4" x14ac:dyDescent="0.25">
      <c r="A994" t="s">
        <v>5</v>
      </c>
      <c r="B994" t="s">
        <v>11</v>
      </c>
      <c r="C994">
        <v>84.021209999999996</v>
      </c>
      <c r="D994" s="1">
        <v>43952</v>
      </c>
    </row>
    <row r="995" spans="1:4" x14ac:dyDescent="0.25">
      <c r="A995" t="s">
        <v>5</v>
      </c>
      <c r="B995" t="s">
        <v>11</v>
      </c>
      <c r="C995">
        <v>91.410989999999998</v>
      </c>
      <c r="D995" s="1">
        <v>43983</v>
      </c>
    </row>
    <row r="996" spans="1:4" x14ac:dyDescent="0.25">
      <c r="A996" t="s">
        <v>5</v>
      </c>
      <c r="B996" t="s">
        <v>11</v>
      </c>
      <c r="C996">
        <v>96.293319999999994</v>
      </c>
      <c r="D996" s="1">
        <v>44013</v>
      </c>
    </row>
    <row r="997" spans="1:4" x14ac:dyDescent="0.25">
      <c r="A997" t="s">
        <v>5</v>
      </c>
      <c r="B997" t="s">
        <v>11</v>
      </c>
      <c r="C997">
        <v>97.722499999999997</v>
      </c>
      <c r="D997" s="1">
        <v>44044</v>
      </c>
    </row>
    <row r="998" spans="1:4" x14ac:dyDescent="0.25">
      <c r="A998" t="s">
        <v>5</v>
      </c>
      <c r="B998" t="s">
        <v>11</v>
      </c>
      <c r="C998">
        <v>103.673</v>
      </c>
      <c r="D998" s="1">
        <v>44075</v>
      </c>
    </row>
    <row r="999" spans="1:4" x14ac:dyDescent="0.25">
      <c r="A999" t="s">
        <v>5</v>
      </c>
      <c r="B999" t="s">
        <v>11</v>
      </c>
      <c r="C999">
        <v>101.00821999999999</v>
      </c>
      <c r="D999" s="1">
        <v>44105</v>
      </c>
    </row>
    <row r="1000" spans="1:4" x14ac:dyDescent="0.25">
      <c r="A1000" t="s">
        <v>5</v>
      </c>
      <c r="B1000" t="s">
        <v>11</v>
      </c>
      <c r="C1000">
        <v>99.344080000000005</v>
      </c>
      <c r="D1000" s="1">
        <v>44136</v>
      </c>
    </row>
    <row r="1001" spans="1:4" x14ac:dyDescent="0.25">
      <c r="A1001" t="s">
        <v>5</v>
      </c>
      <c r="B1001" t="s">
        <v>11</v>
      </c>
      <c r="C1001">
        <v>117.91981</v>
      </c>
      <c r="D1001" s="1">
        <v>44166</v>
      </c>
    </row>
    <row r="1002" spans="1:4" x14ac:dyDescent="0.25">
      <c r="A1002" t="s">
        <v>5</v>
      </c>
      <c r="B1002" t="s">
        <v>11</v>
      </c>
      <c r="C1002">
        <v>94.915999999999997</v>
      </c>
      <c r="D1002" s="1">
        <v>44197</v>
      </c>
    </row>
    <row r="1003" spans="1:4" x14ac:dyDescent="0.25">
      <c r="A1003" t="s">
        <v>5</v>
      </c>
      <c r="B1003" t="s">
        <v>11</v>
      </c>
      <c r="C1003">
        <v>94.352519999999998</v>
      </c>
      <c r="D1003" s="1">
        <v>44228</v>
      </c>
    </row>
    <row r="1004" spans="1:4" x14ac:dyDescent="0.25">
      <c r="A1004" t="s">
        <v>5</v>
      </c>
      <c r="B1004" t="s">
        <v>11</v>
      </c>
      <c r="C1004">
        <v>104.15873999999999</v>
      </c>
      <c r="D1004" s="1">
        <v>44256</v>
      </c>
    </row>
    <row r="1005" spans="1:4" x14ac:dyDescent="0.25">
      <c r="A1005" t="s">
        <v>5</v>
      </c>
      <c r="B1005" t="s">
        <v>11</v>
      </c>
      <c r="C1005">
        <v>101.70747</v>
      </c>
      <c r="D1005" s="1">
        <v>44287</v>
      </c>
    </row>
    <row r="1006" spans="1:4" x14ac:dyDescent="0.25">
      <c r="A1006" t="s">
        <v>5</v>
      </c>
      <c r="B1006" t="s">
        <v>11</v>
      </c>
      <c r="C1006">
        <v>102.65295999999999</v>
      </c>
      <c r="D1006" s="1">
        <v>44317</v>
      </c>
    </row>
    <row r="1007" spans="1:4" x14ac:dyDescent="0.25">
      <c r="A1007" t="s">
        <v>5</v>
      </c>
      <c r="B1007" t="s">
        <v>11</v>
      </c>
      <c r="C1007">
        <v>105.57362999999999</v>
      </c>
      <c r="D1007" s="1">
        <v>44348</v>
      </c>
    </row>
    <row r="1008" spans="1:4" x14ac:dyDescent="0.25">
      <c r="A1008" t="s">
        <v>5</v>
      </c>
      <c r="B1008" t="s">
        <v>11</v>
      </c>
      <c r="C1008">
        <v>106.98779</v>
      </c>
      <c r="D1008" s="1">
        <v>44378</v>
      </c>
    </row>
    <row r="1009" spans="1:4" x14ac:dyDescent="0.25">
      <c r="A1009" t="s">
        <v>5</v>
      </c>
      <c r="B1009" t="s">
        <v>11</v>
      </c>
      <c r="C1009">
        <v>109.08916000000001</v>
      </c>
      <c r="D1009" s="1">
        <v>44409</v>
      </c>
    </row>
    <row r="1010" spans="1:4" x14ac:dyDescent="0.25">
      <c r="A1010" t="s">
        <v>5</v>
      </c>
      <c r="B1010" t="s">
        <v>11</v>
      </c>
      <c r="C1010">
        <v>102.05922</v>
      </c>
      <c r="D1010" s="1">
        <v>44440</v>
      </c>
    </row>
    <row r="1011" spans="1:4" x14ac:dyDescent="0.25">
      <c r="A1011" t="s">
        <v>5</v>
      </c>
      <c r="B1011" t="s">
        <v>11</v>
      </c>
      <c r="C1011">
        <v>94.795330000000007</v>
      </c>
      <c r="D1011" s="1">
        <v>44470</v>
      </c>
    </row>
    <row r="1012" spans="1:4" x14ac:dyDescent="0.25">
      <c r="A1012" t="s">
        <v>5</v>
      </c>
      <c r="B1012" t="s">
        <v>11</v>
      </c>
      <c r="C1012">
        <v>96.37133</v>
      </c>
      <c r="D1012" s="1">
        <v>44501</v>
      </c>
    </row>
    <row r="1013" spans="1:4" x14ac:dyDescent="0.25">
      <c r="A1013" t="s">
        <v>5</v>
      </c>
      <c r="B1013" t="s">
        <v>11</v>
      </c>
      <c r="C1013">
        <v>112.52616</v>
      </c>
      <c r="D1013" s="1">
        <v>44531</v>
      </c>
    </row>
    <row r="1014" spans="1:4" x14ac:dyDescent="0.25">
      <c r="A1014" t="s">
        <v>5</v>
      </c>
      <c r="B1014" t="s">
        <v>11</v>
      </c>
      <c r="C1014">
        <v>96.16328</v>
      </c>
      <c r="D1014" s="1">
        <v>44562</v>
      </c>
    </row>
    <row r="1015" spans="1:4" x14ac:dyDescent="0.25">
      <c r="A1015" t="s">
        <v>5</v>
      </c>
      <c r="B1015" t="s">
        <v>11</v>
      </c>
      <c r="C1015">
        <v>90.716880000000003</v>
      </c>
      <c r="D1015" s="1">
        <v>44593</v>
      </c>
    </row>
    <row r="1016" spans="1:4" x14ac:dyDescent="0.25">
      <c r="A1016" t="s">
        <v>5</v>
      </c>
      <c r="B1016" t="s">
        <v>11</v>
      </c>
      <c r="C1016">
        <v>99.529690000000002</v>
      </c>
      <c r="D1016" s="1">
        <v>44621</v>
      </c>
    </row>
    <row r="1017" spans="1:4" x14ac:dyDescent="0.25">
      <c r="A1017" t="s">
        <v>5</v>
      </c>
      <c r="B1017" t="s">
        <v>11</v>
      </c>
      <c r="C1017">
        <v>92.319749999999999</v>
      </c>
      <c r="D1017" s="1">
        <v>44652</v>
      </c>
    </row>
    <row r="1018" spans="1:4" x14ac:dyDescent="0.25">
      <c r="A1018" t="s">
        <v>5</v>
      </c>
      <c r="B1018" t="s">
        <v>11</v>
      </c>
      <c r="C1018">
        <v>98.671080000000003</v>
      </c>
      <c r="D1018" s="1">
        <v>44682</v>
      </c>
    </row>
    <row r="1019" spans="1:4" x14ac:dyDescent="0.25">
      <c r="A1019" t="s">
        <v>5</v>
      </c>
      <c r="B1019" t="s">
        <v>11</v>
      </c>
      <c r="C1019">
        <v>100.67619999999999</v>
      </c>
      <c r="D1019" s="1">
        <v>44713</v>
      </c>
    </row>
    <row r="1020" spans="1:4" x14ac:dyDescent="0.25">
      <c r="A1020" t="s">
        <v>5</v>
      </c>
      <c r="B1020" t="s">
        <v>11</v>
      </c>
      <c r="C1020">
        <v>94.086650000000006</v>
      </c>
      <c r="D1020" s="1">
        <v>44743</v>
      </c>
    </row>
    <row r="1021" spans="1:4" x14ac:dyDescent="0.25">
      <c r="A1021" t="s">
        <v>5</v>
      </c>
      <c r="B1021" t="s">
        <v>11</v>
      </c>
      <c r="C1021">
        <v>106.58335</v>
      </c>
      <c r="D1021" s="1">
        <v>44774</v>
      </c>
    </row>
    <row r="1022" spans="1:4" x14ac:dyDescent="0.25">
      <c r="A1022" t="s">
        <v>5</v>
      </c>
      <c r="B1022" t="s">
        <v>11</v>
      </c>
      <c r="C1022">
        <v>99.823139999999995</v>
      </c>
      <c r="D1022" s="1">
        <v>44805</v>
      </c>
    </row>
    <row r="1023" spans="1:4" x14ac:dyDescent="0.25">
      <c r="A1023" t="s">
        <v>5</v>
      </c>
      <c r="B1023" t="s">
        <v>11</v>
      </c>
      <c r="C1023">
        <v>100.88488</v>
      </c>
      <c r="D1023" s="1">
        <v>44835</v>
      </c>
    </row>
    <row r="1024" spans="1:4" x14ac:dyDescent="0.25">
      <c r="A1024" t="s">
        <v>5</v>
      </c>
      <c r="B1024" t="s">
        <v>11</v>
      </c>
      <c r="C1024">
        <v>96.647999999999996</v>
      </c>
      <c r="D1024" s="1">
        <v>44866</v>
      </c>
    </row>
    <row r="1025" spans="1:4" x14ac:dyDescent="0.25">
      <c r="A1025" t="s">
        <v>5</v>
      </c>
      <c r="B1025" t="s">
        <v>11</v>
      </c>
      <c r="C1025">
        <v>123.89708</v>
      </c>
      <c r="D1025" s="1">
        <v>44896</v>
      </c>
    </row>
    <row r="1026" spans="1:4" x14ac:dyDescent="0.25">
      <c r="A1026" t="s">
        <v>5</v>
      </c>
      <c r="B1026" t="s">
        <v>11</v>
      </c>
      <c r="C1026">
        <v>96.669920000000005</v>
      </c>
      <c r="D1026" s="1">
        <v>44927</v>
      </c>
    </row>
    <row r="1027" spans="1:4" x14ac:dyDescent="0.25">
      <c r="A1027" t="s">
        <v>5</v>
      </c>
      <c r="B1027" t="s">
        <v>11</v>
      </c>
      <c r="C1027">
        <v>91.259349999999998</v>
      </c>
      <c r="D1027" s="1">
        <v>44958</v>
      </c>
    </row>
    <row r="1028" spans="1:4" x14ac:dyDescent="0.25">
      <c r="A1028" t="s">
        <v>5</v>
      </c>
      <c r="B1028" t="s">
        <v>11</v>
      </c>
      <c r="C1028">
        <v>100.10772</v>
      </c>
      <c r="D1028" s="1">
        <v>44986</v>
      </c>
    </row>
    <row r="1029" spans="1:4" x14ac:dyDescent="0.25">
      <c r="A1029" t="s">
        <v>5</v>
      </c>
      <c r="B1029" t="s">
        <v>11</v>
      </c>
      <c r="C1029">
        <v>91.734459999999999</v>
      </c>
      <c r="D1029" s="1">
        <v>45017</v>
      </c>
    </row>
    <row r="1030" spans="1:4" x14ac:dyDescent="0.25">
      <c r="A1030" t="s">
        <v>5</v>
      </c>
      <c r="B1030" t="s">
        <v>11</v>
      </c>
      <c r="C1030">
        <v>99.343490000000003</v>
      </c>
      <c r="D1030" s="1">
        <v>45047</v>
      </c>
    </row>
    <row r="1031" spans="1:4" x14ac:dyDescent="0.25">
      <c r="A1031" t="s">
        <v>5</v>
      </c>
      <c r="B1031" t="s">
        <v>11</v>
      </c>
      <c r="C1031">
        <v>99.170820000000006</v>
      </c>
      <c r="D1031" s="1">
        <v>45078</v>
      </c>
    </row>
    <row r="1032" spans="1:4" x14ac:dyDescent="0.25">
      <c r="A1032" t="s">
        <v>5</v>
      </c>
      <c r="B1032" t="s">
        <v>11</v>
      </c>
      <c r="C1032">
        <v>98.075209999999998</v>
      </c>
      <c r="D1032" s="1">
        <v>45108</v>
      </c>
    </row>
    <row r="1033" spans="1:4" x14ac:dyDescent="0.25">
      <c r="A1033" t="s">
        <v>5</v>
      </c>
      <c r="B1033" t="s">
        <v>11</v>
      </c>
      <c r="C1033">
        <v>100.15935</v>
      </c>
      <c r="D1033" s="1">
        <v>45139</v>
      </c>
    </row>
    <row r="1034" spans="1:4" x14ac:dyDescent="0.25">
      <c r="A1034" t="s">
        <v>5</v>
      </c>
      <c r="B1034" t="s">
        <v>11</v>
      </c>
      <c r="C1034">
        <v>95.206699999999998</v>
      </c>
      <c r="D1034" s="1">
        <v>45170</v>
      </c>
    </row>
    <row r="1035" spans="1:4" x14ac:dyDescent="0.25">
      <c r="A1035" t="s">
        <v>5</v>
      </c>
      <c r="B1035" t="s">
        <v>11</v>
      </c>
      <c r="C1035">
        <v>96.853200000000001</v>
      </c>
      <c r="D1035" s="1">
        <v>45200</v>
      </c>
    </row>
    <row r="1036" spans="1:4" x14ac:dyDescent="0.25">
      <c r="A1036" t="s">
        <v>5</v>
      </c>
      <c r="B1036" t="s">
        <v>11</v>
      </c>
      <c r="C1036">
        <v>99.849559999999997</v>
      </c>
      <c r="D1036" s="1">
        <v>45231</v>
      </c>
    </row>
    <row r="1037" spans="1:4" x14ac:dyDescent="0.25">
      <c r="A1037" t="s">
        <v>5</v>
      </c>
      <c r="B1037" t="s">
        <v>11</v>
      </c>
      <c r="C1037">
        <v>110.48882</v>
      </c>
      <c r="D1037" s="1">
        <v>45261</v>
      </c>
    </row>
    <row r="1038" spans="1:4" x14ac:dyDescent="0.25">
      <c r="A1038" t="s">
        <v>5</v>
      </c>
      <c r="B1038" t="s">
        <v>11</v>
      </c>
      <c r="C1038">
        <v>98.326719999999995</v>
      </c>
      <c r="D1038" s="1">
        <v>45292</v>
      </c>
    </row>
    <row r="1039" spans="1:4" x14ac:dyDescent="0.25">
      <c r="A1039" t="s">
        <v>5</v>
      </c>
      <c r="B1039" t="s">
        <v>11</v>
      </c>
      <c r="C1039">
        <v>94.600719999999995</v>
      </c>
      <c r="D1039" s="1">
        <v>45323</v>
      </c>
    </row>
    <row r="1040" spans="1:4" x14ac:dyDescent="0.25">
      <c r="A1040" t="s">
        <v>5</v>
      </c>
      <c r="B1040" t="s">
        <v>11</v>
      </c>
      <c r="C1040">
        <v>97.669409999999999</v>
      </c>
      <c r="D1040" s="1">
        <v>45352</v>
      </c>
    </row>
    <row r="1041" spans="1:4" x14ac:dyDescent="0.25">
      <c r="A1041" t="s">
        <v>5</v>
      </c>
      <c r="B1041" t="s">
        <v>11</v>
      </c>
      <c r="C1041">
        <v>98.792919999999995</v>
      </c>
      <c r="D1041" s="1">
        <v>45383</v>
      </c>
    </row>
    <row r="1042" spans="1:4" x14ac:dyDescent="0.25">
      <c r="A1042" t="s">
        <v>5</v>
      </c>
      <c r="B1042" t="s">
        <v>11</v>
      </c>
      <c r="C1042">
        <v>99.549260000000004</v>
      </c>
      <c r="D1042" s="1">
        <v>45413</v>
      </c>
    </row>
    <row r="1043" spans="1:4" x14ac:dyDescent="0.25">
      <c r="A1043" t="s">
        <v>5</v>
      </c>
      <c r="B1043" t="s">
        <v>11</v>
      </c>
      <c r="C1043">
        <v>98.248459999999994</v>
      </c>
      <c r="D1043" s="1">
        <v>45444</v>
      </c>
    </row>
    <row r="1044" spans="1:4" x14ac:dyDescent="0.25">
      <c r="A1044" t="s">
        <v>5</v>
      </c>
      <c r="B1044" t="s">
        <v>11</v>
      </c>
      <c r="C1044">
        <v>99.983459999999994</v>
      </c>
      <c r="D1044" s="1">
        <v>45474</v>
      </c>
    </row>
    <row r="1045" spans="1:4" x14ac:dyDescent="0.25">
      <c r="A1045" t="s">
        <v>5</v>
      </c>
      <c r="B1045" t="s">
        <v>11</v>
      </c>
      <c r="C1045">
        <v>101.78443</v>
      </c>
      <c r="D1045" s="1">
        <v>45505</v>
      </c>
    </row>
    <row r="1046" spans="1:4" x14ac:dyDescent="0.25">
      <c r="A1046" t="s">
        <v>5</v>
      </c>
      <c r="B1046" t="s">
        <v>11</v>
      </c>
      <c r="C1046">
        <v>96.679599999999994</v>
      </c>
      <c r="D1046" s="1">
        <v>45536</v>
      </c>
    </row>
    <row r="1047" spans="1:4" x14ac:dyDescent="0.25">
      <c r="A1047" t="s">
        <v>5</v>
      </c>
      <c r="B1047" t="s">
        <v>11</v>
      </c>
      <c r="C1047">
        <v>97.252449999999996</v>
      </c>
      <c r="D1047" s="1">
        <v>45566</v>
      </c>
    </row>
    <row r="1048" spans="1:4" x14ac:dyDescent="0.25">
      <c r="A1048" t="s">
        <v>5</v>
      </c>
      <c r="B1048" t="s">
        <v>11</v>
      </c>
      <c r="C1048">
        <v>96.434719999999999</v>
      </c>
      <c r="D1048" s="1">
        <v>45597</v>
      </c>
    </row>
    <row r="1049" spans="1:4" x14ac:dyDescent="0.25">
      <c r="A1049" t="s">
        <v>5</v>
      </c>
      <c r="B1049" t="s">
        <v>11</v>
      </c>
      <c r="C1049">
        <v>104.20371</v>
      </c>
      <c r="D1049" s="1">
        <v>45627</v>
      </c>
    </row>
    <row r="1050" spans="1:4" x14ac:dyDescent="0.25">
      <c r="A1050" t="s">
        <v>5</v>
      </c>
      <c r="B1050" t="s">
        <v>11</v>
      </c>
      <c r="C1050">
        <v>95.29965</v>
      </c>
      <c r="D1050" s="1">
        <v>45658</v>
      </c>
    </row>
    <row r="1051" spans="1:4" x14ac:dyDescent="0.25">
      <c r="A1051" t="s">
        <v>5</v>
      </c>
      <c r="B1051" t="s">
        <v>11</v>
      </c>
      <c r="C1051">
        <v>95.13503</v>
      </c>
      <c r="D1051" s="1">
        <v>45689</v>
      </c>
    </row>
    <row r="1052" spans="1:4" x14ac:dyDescent="0.25">
      <c r="A1052" t="s">
        <v>5</v>
      </c>
      <c r="B1052" t="s">
        <v>11</v>
      </c>
      <c r="C1052">
        <v>94.978890000000007</v>
      </c>
      <c r="D1052" s="1">
        <v>45717</v>
      </c>
    </row>
    <row r="1053" spans="1:4" x14ac:dyDescent="0.25">
      <c r="A1053" t="s">
        <v>5</v>
      </c>
      <c r="B1053" t="s">
        <v>11</v>
      </c>
      <c r="C1053">
        <v>93.776960000000003</v>
      </c>
      <c r="D1053" s="1">
        <v>45748</v>
      </c>
    </row>
    <row r="1054" spans="1:4" x14ac:dyDescent="0.25">
      <c r="A1054" t="s">
        <v>5</v>
      </c>
      <c r="B1054" t="s">
        <v>11</v>
      </c>
      <c r="C1054">
        <v>98.151740000000004</v>
      </c>
      <c r="D1054" s="1">
        <v>45778</v>
      </c>
    </row>
    <row r="1055" spans="1:4" x14ac:dyDescent="0.25">
      <c r="A1055" t="s">
        <v>5</v>
      </c>
      <c r="B1055" t="s">
        <v>11</v>
      </c>
      <c r="C1055">
        <v>96.801839999999999</v>
      </c>
      <c r="D1055" s="1">
        <v>45809</v>
      </c>
    </row>
    <row r="1056" spans="1:4" x14ac:dyDescent="0.25">
      <c r="A1056" t="s">
        <v>5</v>
      </c>
      <c r="B1056" t="s">
        <v>11</v>
      </c>
      <c r="C1056">
        <v>98.340459999999993</v>
      </c>
      <c r="D1056" s="1">
        <v>45839</v>
      </c>
    </row>
    <row r="1057" spans="1:4" x14ac:dyDescent="0.25">
      <c r="A1057" t="s">
        <v>5</v>
      </c>
      <c r="B1057" t="s">
        <v>11</v>
      </c>
      <c r="C1057">
        <v>99.075410000000005</v>
      </c>
      <c r="D1057" s="1">
        <v>45870</v>
      </c>
    </row>
    <row r="1058" spans="1:4" x14ac:dyDescent="0.25">
      <c r="A1058" t="s">
        <v>12</v>
      </c>
      <c r="B1058" t="s">
        <v>11</v>
      </c>
      <c r="C1058">
        <v>106.75623</v>
      </c>
      <c r="D1058" s="1">
        <v>40544</v>
      </c>
    </row>
    <row r="1059" spans="1:4" x14ac:dyDescent="0.25">
      <c r="A1059" t="s">
        <v>12</v>
      </c>
      <c r="B1059" t="s">
        <v>11</v>
      </c>
      <c r="C1059">
        <v>102.18034</v>
      </c>
      <c r="D1059" s="1">
        <v>40575</v>
      </c>
    </row>
    <row r="1060" spans="1:4" x14ac:dyDescent="0.25">
      <c r="A1060" t="s">
        <v>12</v>
      </c>
      <c r="B1060" t="s">
        <v>11</v>
      </c>
      <c r="C1060">
        <v>105.76854</v>
      </c>
      <c r="D1060" s="1">
        <v>40603</v>
      </c>
    </row>
    <row r="1061" spans="1:4" x14ac:dyDescent="0.25">
      <c r="A1061" t="s">
        <v>12</v>
      </c>
      <c r="B1061" t="s">
        <v>11</v>
      </c>
      <c r="C1061">
        <v>102.49615</v>
      </c>
      <c r="D1061" s="1">
        <v>40634</v>
      </c>
    </row>
    <row r="1062" spans="1:4" x14ac:dyDescent="0.25">
      <c r="A1062" t="s">
        <v>12</v>
      </c>
      <c r="B1062" t="s">
        <v>11</v>
      </c>
      <c r="C1062">
        <v>108.54499</v>
      </c>
      <c r="D1062" s="1">
        <v>40664</v>
      </c>
    </row>
    <row r="1063" spans="1:4" x14ac:dyDescent="0.25">
      <c r="A1063" t="s">
        <v>12</v>
      </c>
      <c r="B1063" t="s">
        <v>11</v>
      </c>
      <c r="C1063">
        <v>103.01894</v>
      </c>
      <c r="D1063" s="1">
        <v>40695</v>
      </c>
    </row>
    <row r="1064" spans="1:4" x14ac:dyDescent="0.25">
      <c r="A1064" t="s">
        <v>12</v>
      </c>
      <c r="B1064" t="s">
        <v>11</v>
      </c>
      <c r="C1064">
        <v>102.27003000000001</v>
      </c>
      <c r="D1064" s="1">
        <v>40725</v>
      </c>
    </row>
    <row r="1065" spans="1:4" x14ac:dyDescent="0.25">
      <c r="A1065" t="s">
        <v>12</v>
      </c>
      <c r="B1065" t="s">
        <v>11</v>
      </c>
      <c r="C1065">
        <v>111.31668000000001</v>
      </c>
      <c r="D1065" s="1">
        <v>40756</v>
      </c>
    </row>
    <row r="1066" spans="1:4" x14ac:dyDescent="0.25">
      <c r="A1066" t="s">
        <v>12</v>
      </c>
      <c r="B1066" t="s">
        <v>11</v>
      </c>
      <c r="C1066">
        <v>103.48676</v>
      </c>
      <c r="D1066" s="1">
        <v>40787</v>
      </c>
    </row>
    <row r="1067" spans="1:4" x14ac:dyDescent="0.25">
      <c r="A1067" t="s">
        <v>12</v>
      </c>
      <c r="B1067" t="s">
        <v>11</v>
      </c>
      <c r="C1067">
        <v>100.59604</v>
      </c>
      <c r="D1067" s="1">
        <v>40817</v>
      </c>
    </row>
    <row r="1068" spans="1:4" x14ac:dyDescent="0.25">
      <c r="A1068" t="s">
        <v>12</v>
      </c>
      <c r="B1068" t="s">
        <v>11</v>
      </c>
      <c r="C1068">
        <v>98.213170000000005</v>
      </c>
      <c r="D1068" s="1">
        <v>40848</v>
      </c>
    </row>
    <row r="1069" spans="1:4" x14ac:dyDescent="0.25">
      <c r="A1069" t="s">
        <v>12</v>
      </c>
      <c r="B1069" t="s">
        <v>11</v>
      </c>
      <c r="C1069">
        <v>106.12097</v>
      </c>
      <c r="D1069" s="1">
        <v>40878</v>
      </c>
    </row>
    <row r="1070" spans="1:4" x14ac:dyDescent="0.25">
      <c r="A1070" t="s">
        <v>12</v>
      </c>
      <c r="B1070" t="s">
        <v>11</v>
      </c>
      <c r="C1070">
        <v>106.45822</v>
      </c>
      <c r="D1070" s="1">
        <v>40909</v>
      </c>
    </row>
    <row r="1071" spans="1:4" x14ac:dyDescent="0.25">
      <c r="A1071" t="s">
        <v>12</v>
      </c>
      <c r="B1071" t="s">
        <v>11</v>
      </c>
      <c r="C1071">
        <v>102.77339000000001</v>
      </c>
      <c r="D1071" s="1">
        <v>40940</v>
      </c>
    </row>
    <row r="1072" spans="1:4" x14ac:dyDescent="0.25">
      <c r="A1072" t="s">
        <v>12</v>
      </c>
      <c r="B1072" t="s">
        <v>11</v>
      </c>
      <c r="C1072">
        <v>103.43098000000001</v>
      </c>
      <c r="D1072" s="1">
        <v>40969</v>
      </c>
    </row>
    <row r="1073" spans="1:4" x14ac:dyDescent="0.25">
      <c r="A1073" t="s">
        <v>12</v>
      </c>
      <c r="B1073" t="s">
        <v>11</v>
      </c>
      <c r="C1073">
        <v>100.87726000000001</v>
      </c>
      <c r="D1073" s="1">
        <v>41000</v>
      </c>
    </row>
    <row r="1074" spans="1:4" x14ac:dyDescent="0.25">
      <c r="A1074" t="s">
        <v>12</v>
      </c>
      <c r="B1074" t="s">
        <v>11</v>
      </c>
      <c r="C1074">
        <v>106.46146</v>
      </c>
      <c r="D1074" s="1">
        <v>41030</v>
      </c>
    </row>
    <row r="1075" spans="1:4" x14ac:dyDescent="0.25">
      <c r="A1075" t="s">
        <v>12</v>
      </c>
      <c r="B1075" t="s">
        <v>11</v>
      </c>
      <c r="C1075">
        <v>101.78767999999999</v>
      </c>
      <c r="D1075" s="1">
        <v>41061</v>
      </c>
    </row>
    <row r="1076" spans="1:4" x14ac:dyDescent="0.25">
      <c r="A1076" t="s">
        <v>12</v>
      </c>
      <c r="B1076" t="s">
        <v>11</v>
      </c>
      <c r="C1076">
        <v>100.70128</v>
      </c>
      <c r="D1076" s="1">
        <v>41091</v>
      </c>
    </row>
    <row r="1077" spans="1:4" x14ac:dyDescent="0.25">
      <c r="A1077" t="s">
        <v>12</v>
      </c>
      <c r="B1077" t="s">
        <v>11</v>
      </c>
      <c r="C1077">
        <v>104.69497</v>
      </c>
      <c r="D1077" s="1">
        <v>41122</v>
      </c>
    </row>
    <row r="1078" spans="1:4" x14ac:dyDescent="0.25">
      <c r="A1078" t="s">
        <v>12</v>
      </c>
      <c r="B1078" t="s">
        <v>11</v>
      </c>
      <c r="C1078">
        <v>103.70757</v>
      </c>
      <c r="D1078" s="1">
        <v>41153</v>
      </c>
    </row>
    <row r="1079" spans="1:4" x14ac:dyDescent="0.25">
      <c r="A1079" t="s">
        <v>12</v>
      </c>
      <c r="B1079" t="s">
        <v>11</v>
      </c>
      <c r="C1079">
        <v>100.28787</v>
      </c>
      <c r="D1079" s="1">
        <v>41183</v>
      </c>
    </row>
    <row r="1080" spans="1:4" x14ac:dyDescent="0.25">
      <c r="A1080" t="s">
        <v>12</v>
      </c>
      <c r="B1080" t="s">
        <v>11</v>
      </c>
      <c r="C1080">
        <v>95.285899999999998</v>
      </c>
      <c r="D1080" s="1">
        <v>41214</v>
      </c>
    </row>
    <row r="1081" spans="1:4" x14ac:dyDescent="0.25">
      <c r="A1081" t="s">
        <v>12</v>
      </c>
      <c r="B1081" t="s">
        <v>11</v>
      </c>
      <c r="C1081">
        <v>107.23914000000001</v>
      </c>
      <c r="D1081" s="1">
        <v>41244</v>
      </c>
    </row>
    <row r="1082" spans="1:4" x14ac:dyDescent="0.25">
      <c r="A1082" t="s">
        <v>12</v>
      </c>
      <c r="B1082" t="s">
        <v>11</v>
      </c>
      <c r="C1082">
        <v>105.45131000000001</v>
      </c>
      <c r="D1082" s="1">
        <v>41275</v>
      </c>
    </row>
    <row r="1083" spans="1:4" x14ac:dyDescent="0.25">
      <c r="A1083" t="s">
        <v>12</v>
      </c>
      <c r="B1083" t="s">
        <v>11</v>
      </c>
      <c r="C1083">
        <v>97.742069999999998</v>
      </c>
      <c r="D1083" s="1">
        <v>41306</v>
      </c>
    </row>
    <row r="1084" spans="1:4" x14ac:dyDescent="0.25">
      <c r="A1084" t="s">
        <v>12</v>
      </c>
      <c r="B1084" t="s">
        <v>11</v>
      </c>
      <c r="C1084">
        <v>98.622169999999997</v>
      </c>
      <c r="D1084" s="1">
        <v>41334</v>
      </c>
    </row>
    <row r="1085" spans="1:4" x14ac:dyDescent="0.25">
      <c r="A1085" t="s">
        <v>12</v>
      </c>
      <c r="B1085" t="s">
        <v>11</v>
      </c>
      <c r="C1085">
        <v>103.26555</v>
      </c>
      <c r="D1085" s="1">
        <v>41365</v>
      </c>
    </row>
    <row r="1086" spans="1:4" x14ac:dyDescent="0.25">
      <c r="A1086" t="s">
        <v>12</v>
      </c>
      <c r="B1086" t="s">
        <v>11</v>
      </c>
      <c r="C1086">
        <v>102.07302</v>
      </c>
      <c r="D1086" s="1">
        <v>41395</v>
      </c>
    </row>
    <row r="1087" spans="1:4" x14ac:dyDescent="0.25">
      <c r="A1087" t="s">
        <v>12</v>
      </c>
      <c r="B1087" t="s">
        <v>11</v>
      </c>
      <c r="C1087">
        <v>102.38557</v>
      </c>
      <c r="D1087" s="1">
        <v>41426</v>
      </c>
    </row>
    <row r="1088" spans="1:4" x14ac:dyDescent="0.25">
      <c r="A1088" t="s">
        <v>12</v>
      </c>
      <c r="B1088" t="s">
        <v>11</v>
      </c>
      <c r="C1088">
        <v>96.402060000000006</v>
      </c>
      <c r="D1088" s="1">
        <v>41456</v>
      </c>
    </row>
    <row r="1089" spans="1:4" x14ac:dyDescent="0.25">
      <c r="A1089" t="s">
        <v>12</v>
      </c>
      <c r="B1089" t="s">
        <v>11</v>
      </c>
      <c r="C1089">
        <v>98.703140000000005</v>
      </c>
      <c r="D1089" s="1">
        <v>41487</v>
      </c>
    </row>
    <row r="1090" spans="1:4" x14ac:dyDescent="0.25">
      <c r="A1090" t="s">
        <v>12</v>
      </c>
      <c r="B1090" t="s">
        <v>11</v>
      </c>
      <c r="C1090">
        <v>99.431299999999993</v>
      </c>
      <c r="D1090" s="1">
        <v>41518</v>
      </c>
    </row>
    <row r="1091" spans="1:4" x14ac:dyDescent="0.25">
      <c r="A1091" t="s">
        <v>12</v>
      </c>
      <c r="B1091" t="s">
        <v>11</v>
      </c>
      <c r="C1091">
        <v>102.68159</v>
      </c>
      <c r="D1091" s="1">
        <v>41548</v>
      </c>
    </row>
    <row r="1092" spans="1:4" x14ac:dyDescent="0.25">
      <c r="A1092" t="s">
        <v>12</v>
      </c>
      <c r="B1092" t="s">
        <v>11</v>
      </c>
      <c r="C1092">
        <v>94.716279999999998</v>
      </c>
      <c r="D1092" s="1">
        <v>41579</v>
      </c>
    </row>
    <row r="1093" spans="1:4" x14ac:dyDescent="0.25">
      <c r="A1093" t="s">
        <v>12</v>
      </c>
      <c r="B1093" t="s">
        <v>11</v>
      </c>
      <c r="C1093">
        <v>106.39678000000001</v>
      </c>
      <c r="D1093" s="1">
        <v>41609</v>
      </c>
    </row>
    <row r="1094" spans="1:4" x14ac:dyDescent="0.25">
      <c r="A1094" t="s">
        <v>12</v>
      </c>
      <c r="B1094" t="s">
        <v>11</v>
      </c>
      <c r="C1094">
        <v>98.452089999999998</v>
      </c>
      <c r="D1094" s="1">
        <v>41640</v>
      </c>
    </row>
    <row r="1095" spans="1:4" x14ac:dyDescent="0.25">
      <c r="A1095" t="s">
        <v>12</v>
      </c>
      <c r="B1095" t="s">
        <v>11</v>
      </c>
      <c r="C1095">
        <v>92.017960000000002</v>
      </c>
      <c r="D1095" s="1">
        <v>41671</v>
      </c>
    </row>
    <row r="1096" spans="1:4" x14ac:dyDescent="0.25">
      <c r="A1096" t="s">
        <v>12</v>
      </c>
      <c r="B1096" t="s">
        <v>11</v>
      </c>
      <c r="C1096">
        <v>89.915459999999996</v>
      </c>
      <c r="D1096" s="1">
        <v>41699</v>
      </c>
    </row>
    <row r="1097" spans="1:4" x14ac:dyDescent="0.25">
      <c r="A1097" t="s">
        <v>12</v>
      </c>
      <c r="B1097" t="s">
        <v>11</v>
      </c>
      <c r="C1097">
        <v>101.4059</v>
      </c>
      <c r="D1097" s="1">
        <v>41730</v>
      </c>
    </row>
    <row r="1098" spans="1:4" x14ac:dyDescent="0.25">
      <c r="A1098" t="s">
        <v>12</v>
      </c>
      <c r="B1098" t="s">
        <v>11</v>
      </c>
      <c r="C1098">
        <v>93.523799999999994</v>
      </c>
      <c r="D1098" s="1">
        <v>41760</v>
      </c>
    </row>
    <row r="1099" spans="1:4" x14ac:dyDescent="0.25">
      <c r="A1099" t="s">
        <v>12</v>
      </c>
      <c r="B1099" t="s">
        <v>11</v>
      </c>
      <c r="C1099">
        <v>93.041380000000004</v>
      </c>
      <c r="D1099" s="1">
        <v>41791</v>
      </c>
    </row>
    <row r="1100" spans="1:4" x14ac:dyDescent="0.25">
      <c r="A1100" t="s">
        <v>12</v>
      </c>
      <c r="B1100" t="s">
        <v>11</v>
      </c>
      <c r="C1100">
        <v>93.987970000000004</v>
      </c>
      <c r="D1100" s="1">
        <v>41821</v>
      </c>
    </row>
    <row r="1101" spans="1:4" x14ac:dyDescent="0.25">
      <c r="A1101" t="s">
        <v>12</v>
      </c>
      <c r="B1101" t="s">
        <v>11</v>
      </c>
      <c r="C1101">
        <v>99.211699999999993</v>
      </c>
      <c r="D1101" s="1">
        <v>41852</v>
      </c>
    </row>
    <row r="1102" spans="1:4" x14ac:dyDescent="0.25">
      <c r="A1102" t="s">
        <v>12</v>
      </c>
      <c r="B1102" t="s">
        <v>11</v>
      </c>
      <c r="C1102">
        <v>99.489080000000001</v>
      </c>
      <c r="D1102" s="1">
        <v>41883</v>
      </c>
    </row>
    <row r="1103" spans="1:4" x14ac:dyDescent="0.25">
      <c r="A1103" t="s">
        <v>12</v>
      </c>
      <c r="B1103" t="s">
        <v>11</v>
      </c>
      <c r="C1103">
        <v>107.15864999999999</v>
      </c>
      <c r="D1103" s="1">
        <v>41913</v>
      </c>
    </row>
    <row r="1104" spans="1:4" x14ac:dyDescent="0.25">
      <c r="A1104" t="s">
        <v>12</v>
      </c>
      <c r="B1104" t="s">
        <v>11</v>
      </c>
      <c r="C1104">
        <v>91.81344</v>
      </c>
      <c r="D1104" s="1">
        <v>41944</v>
      </c>
    </row>
    <row r="1105" spans="1:4" x14ac:dyDescent="0.25">
      <c r="A1105" t="s">
        <v>12</v>
      </c>
      <c r="B1105" t="s">
        <v>11</v>
      </c>
      <c r="C1105">
        <v>98.102760000000004</v>
      </c>
      <c r="D1105" s="1">
        <v>41974</v>
      </c>
    </row>
    <row r="1106" spans="1:4" x14ac:dyDescent="0.25">
      <c r="A1106" t="s">
        <v>12</v>
      </c>
      <c r="B1106" t="s">
        <v>11</v>
      </c>
      <c r="C1106">
        <v>85.550340000000006</v>
      </c>
      <c r="D1106" s="1">
        <v>42005</v>
      </c>
    </row>
    <row r="1107" spans="1:4" x14ac:dyDescent="0.25">
      <c r="A1107" t="s">
        <v>12</v>
      </c>
      <c r="B1107" t="s">
        <v>11</v>
      </c>
      <c r="C1107">
        <v>82.157179999999997</v>
      </c>
      <c r="D1107" s="1">
        <v>42036</v>
      </c>
    </row>
    <row r="1108" spans="1:4" x14ac:dyDescent="0.25">
      <c r="A1108" t="s">
        <v>12</v>
      </c>
      <c r="B1108" t="s">
        <v>11</v>
      </c>
      <c r="C1108">
        <v>88.133560000000003</v>
      </c>
      <c r="D1108" s="1">
        <v>42064</v>
      </c>
    </row>
    <row r="1109" spans="1:4" x14ac:dyDescent="0.25">
      <c r="A1109" t="s">
        <v>12</v>
      </c>
      <c r="B1109" t="s">
        <v>11</v>
      </c>
      <c r="C1109">
        <v>88.251239999999996</v>
      </c>
      <c r="D1109" s="1">
        <v>42095</v>
      </c>
    </row>
    <row r="1110" spans="1:4" x14ac:dyDescent="0.25">
      <c r="A1110" t="s">
        <v>12</v>
      </c>
      <c r="B1110" t="s">
        <v>11</v>
      </c>
      <c r="C1110">
        <v>87.897570000000002</v>
      </c>
      <c r="D1110" s="1">
        <v>42125</v>
      </c>
    </row>
    <row r="1111" spans="1:4" x14ac:dyDescent="0.25">
      <c r="A1111" t="s">
        <v>12</v>
      </c>
      <c r="B1111" t="s">
        <v>11</v>
      </c>
      <c r="C1111">
        <v>86.045739999999995</v>
      </c>
      <c r="D1111" s="1">
        <v>42156</v>
      </c>
    </row>
    <row r="1112" spans="1:4" x14ac:dyDescent="0.25">
      <c r="A1112" t="s">
        <v>12</v>
      </c>
      <c r="B1112" t="s">
        <v>11</v>
      </c>
      <c r="C1112">
        <v>84.311099999999996</v>
      </c>
      <c r="D1112" s="1">
        <v>42186</v>
      </c>
    </row>
    <row r="1113" spans="1:4" x14ac:dyDescent="0.25">
      <c r="A1113" t="s">
        <v>12</v>
      </c>
      <c r="B1113" t="s">
        <v>11</v>
      </c>
      <c r="C1113">
        <v>85.052239999999998</v>
      </c>
      <c r="D1113" s="1">
        <v>42217</v>
      </c>
    </row>
    <row r="1114" spans="1:4" x14ac:dyDescent="0.25">
      <c r="A1114" t="s">
        <v>12</v>
      </c>
      <c r="B1114" t="s">
        <v>11</v>
      </c>
      <c r="C1114">
        <v>88.130330000000001</v>
      </c>
      <c r="D1114" s="1">
        <v>42248</v>
      </c>
    </row>
    <row r="1115" spans="1:4" x14ac:dyDescent="0.25">
      <c r="A1115" t="s">
        <v>12</v>
      </c>
      <c r="B1115" t="s">
        <v>11</v>
      </c>
      <c r="C1115">
        <v>88.91377</v>
      </c>
      <c r="D1115" s="1">
        <v>42278</v>
      </c>
    </row>
    <row r="1116" spans="1:4" x14ac:dyDescent="0.25">
      <c r="A1116" t="s">
        <v>12</v>
      </c>
      <c r="B1116" t="s">
        <v>11</v>
      </c>
      <c r="C1116">
        <v>85.831649999999996</v>
      </c>
      <c r="D1116" s="1">
        <v>42309</v>
      </c>
    </row>
    <row r="1117" spans="1:4" x14ac:dyDescent="0.25">
      <c r="A1117" t="s">
        <v>12</v>
      </c>
      <c r="B1117" t="s">
        <v>11</v>
      </c>
      <c r="C1117">
        <v>84.196299999999994</v>
      </c>
      <c r="D1117" s="1">
        <v>42339</v>
      </c>
    </row>
    <row r="1118" spans="1:4" x14ac:dyDescent="0.25">
      <c r="A1118" t="s">
        <v>12</v>
      </c>
      <c r="B1118" t="s">
        <v>11</v>
      </c>
      <c r="C1118">
        <v>79.802310000000006</v>
      </c>
      <c r="D1118" s="1">
        <v>42370</v>
      </c>
    </row>
    <row r="1119" spans="1:4" x14ac:dyDescent="0.25">
      <c r="A1119" t="s">
        <v>12</v>
      </c>
      <c r="B1119" t="s">
        <v>11</v>
      </c>
      <c r="C1119">
        <v>78.177819999999997</v>
      </c>
      <c r="D1119" s="1">
        <v>42401</v>
      </c>
    </row>
    <row r="1120" spans="1:4" x14ac:dyDescent="0.25">
      <c r="A1120" t="s">
        <v>12</v>
      </c>
      <c r="B1120" t="s">
        <v>11</v>
      </c>
      <c r="C1120">
        <v>96.718999999999994</v>
      </c>
      <c r="D1120" s="1">
        <v>42430</v>
      </c>
    </row>
    <row r="1121" spans="1:4" x14ac:dyDescent="0.25">
      <c r="A1121" t="s">
        <v>12</v>
      </c>
      <c r="B1121" t="s">
        <v>11</v>
      </c>
      <c r="C1121">
        <v>87.176829999999995</v>
      </c>
      <c r="D1121" s="1">
        <v>42461</v>
      </c>
    </row>
    <row r="1122" spans="1:4" x14ac:dyDescent="0.25">
      <c r="A1122" t="s">
        <v>12</v>
      </c>
      <c r="B1122" t="s">
        <v>11</v>
      </c>
      <c r="C1122">
        <v>82.963710000000006</v>
      </c>
      <c r="D1122" s="1">
        <v>42491</v>
      </c>
    </row>
    <row r="1123" spans="1:4" x14ac:dyDescent="0.25">
      <c r="A1123" t="s">
        <v>12</v>
      </c>
      <c r="B1123" t="s">
        <v>11</v>
      </c>
      <c r="C1123">
        <v>85.744200000000006</v>
      </c>
      <c r="D1123" s="1">
        <v>42522</v>
      </c>
    </row>
    <row r="1124" spans="1:4" x14ac:dyDescent="0.25">
      <c r="A1124" t="s">
        <v>12</v>
      </c>
      <c r="B1124" t="s">
        <v>11</v>
      </c>
      <c r="C1124">
        <v>90.285510000000002</v>
      </c>
      <c r="D1124" s="1">
        <v>42552</v>
      </c>
    </row>
    <row r="1125" spans="1:4" x14ac:dyDescent="0.25">
      <c r="A1125" t="s">
        <v>12</v>
      </c>
      <c r="B1125" t="s">
        <v>11</v>
      </c>
      <c r="C1125">
        <v>91.633709999999994</v>
      </c>
      <c r="D1125" s="1">
        <v>42583</v>
      </c>
    </row>
    <row r="1126" spans="1:4" x14ac:dyDescent="0.25">
      <c r="A1126" t="s">
        <v>12</v>
      </c>
      <c r="B1126" t="s">
        <v>11</v>
      </c>
      <c r="C1126">
        <v>87.424890000000005</v>
      </c>
      <c r="D1126" s="1">
        <v>42614</v>
      </c>
    </row>
    <row r="1127" spans="1:4" x14ac:dyDescent="0.25">
      <c r="A1127" t="s">
        <v>12</v>
      </c>
      <c r="B1127" t="s">
        <v>11</v>
      </c>
      <c r="C1127">
        <v>90.56259</v>
      </c>
      <c r="D1127" s="1">
        <v>42644</v>
      </c>
    </row>
    <row r="1128" spans="1:4" x14ac:dyDescent="0.25">
      <c r="A1128" t="s">
        <v>12</v>
      </c>
      <c r="B1128" t="s">
        <v>11</v>
      </c>
      <c r="C1128">
        <v>93.366590000000002</v>
      </c>
      <c r="D1128" s="1">
        <v>42675</v>
      </c>
    </row>
    <row r="1129" spans="1:4" x14ac:dyDescent="0.25">
      <c r="A1129" t="s">
        <v>12</v>
      </c>
      <c r="B1129" t="s">
        <v>11</v>
      </c>
      <c r="C1129">
        <v>94.55592</v>
      </c>
      <c r="D1129" s="1">
        <v>42705</v>
      </c>
    </row>
    <row r="1130" spans="1:4" x14ac:dyDescent="0.25">
      <c r="A1130" t="s">
        <v>12</v>
      </c>
      <c r="B1130" t="s">
        <v>11</v>
      </c>
      <c r="C1130">
        <v>71.650000000000006</v>
      </c>
      <c r="D1130" s="1">
        <v>42736</v>
      </c>
    </row>
    <row r="1131" spans="1:4" x14ac:dyDescent="0.25">
      <c r="A1131" t="s">
        <v>12</v>
      </c>
      <c r="B1131" t="s">
        <v>11</v>
      </c>
      <c r="C1131">
        <v>69.593530000000001</v>
      </c>
      <c r="D1131" s="1">
        <v>42767</v>
      </c>
    </row>
    <row r="1132" spans="1:4" x14ac:dyDescent="0.25">
      <c r="A1132" t="s">
        <v>12</v>
      </c>
      <c r="B1132" t="s">
        <v>11</v>
      </c>
      <c r="C1132">
        <v>76.049400000000006</v>
      </c>
      <c r="D1132" s="1">
        <v>42795</v>
      </c>
    </row>
    <row r="1133" spans="1:4" x14ac:dyDescent="0.25">
      <c r="A1133" t="s">
        <v>12</v>
      </c>
      <c r="B1133" t="s">
        <v>11</v>
      </c>
      <c r="C1133">
        <v>70.553200000000004</v>
      </c>
      <c r="D1133" s="1">
        <v>42826</v>
      </c>
    </row>
    <row r="1134" spans="1:4" x14ac:dyDescent="0.25">
      <c r="A1134" t="s">
        <v>12</v>
      </c>
      <c r="B1134" t="s">
        <v>11</v>
      </c>
      <c r="C1134">
        <v>79.439769999999996</v>
      </c>
      <c r="D1134" s="1">
        <v>42856</v>
      </c>
    </row>
    <row r="1135" spans="1:4" x14ac:dyDescent="0.25">
      <c r="A1135" t="s">
        <v>12</v>
      </c>
      <c r="B1135" t="s">
        <v>11</v>
      </c>
      <c r="C1135">
        <v>73.412509999999997</v>
      </c>
      <c r="D1135" s="1">
        <v>42887</v>
      </c>
    </row>
    <row r="1136" spans="1:4" x14ac:dyDescent="0.25">
      <c r="A1136" t="s">
        <v>12</v>
      </c>
      <c r="B1136" t="s">
        <v>11</v>
      </c>
      <c r="C1136">
        <v>72.846720000000005</v>
      </c>
      <c r="D1136" s="1">
        <v>42917</v>
      </c>
    </row>
    <row r="1137" spans="1:4" x14ac:dyDescent="0.25">
      <c r="A1137" t="s">
        <v>12</v>
      </c>
      <c r="B1137" t="s">
        <v>11</v>
      </c>
      <c r="C1137">
        <v>74.965419999999995</v>
      </c>
      <c r="D1137" s="1">
        <v>42948</v>
      </c>
    </row>
    <row r="1138" spans="1:4" x14ac:dyDescent="0.25">
      <c r="A1138" t="s">
        <v>12</v>
      </c>
      <c r="B1138" t="s">
        <v>11</v>
      </c>
      <c r="C1138">
        <v>75.198809999999995</v>
      </c>
      <c r="D1138" s="1">
        <v>42979</v>
      </c>
    </row>
    <row r="1139" spans="1:4" x14ac:dyDescent="0.25">
      <c r="A1139" t="s">
        <v>12</v>
      </c>
      <c r="B1139" t="s">
        <v>11</v>
      </c>
      <c r="C1139">
        <v>77.094329999999999</v>
      </c>
      <c r="D1139" s="1">
        <v>43009</v>
      </c>
    </row>
    <row r="1140" spans="1:4" x14ac:dyDescent="0.25">
      <c r="A1140" t="s">
        <v>12</v>
      </c>
      <c r="B1140" t="s">
        <v>11</v>
      </c>
      <c r="C1140">
        <v>71.844130000000007</v>
      </c>
      <c r="D1140" s="1">
        <v>43040</v>
      </c>
    </row>
    <row r="1141" spans="1:4" x14ac:dyDescent="0.25">
      <c r="A1141" t="s">
        <v>12</v>
      </c>
      <c r="B1141" t="s">
        <v>11</v>
      </c>
      <c r="C1141">
        <v>83.626900000000006</v>
      </c>
      <c r="D1141" s="1">
        <v>43070</v>
      </c>
    </row>
    <row r="1142" spans="1:4" x14ac:dyDescent="0.25">
      <c r="A1142" t="s">
        <v>12</v>
      </c>
      <c r="B1142" t="s">
        <v>11</v>
      </c>
      <c r="C1142">
        <v>77.737750000000005</v>
      </c>
      <c r="D1142" s="1">
        <v>43101</v>
      </c>
    </row>
    <row r="1143" spans="1:4" x14ac:dyDescent="0.25">
      <c r="A1143" t="s">
        <v>12</v>
      </c>
      <c r="B1143" t="s">
        <v>11</v>
      </c>
      <c r="C1143">
        <v>73.563450000000003</v>
      </c>
      <c r="D1143" s="1">
        <v>43132</v>
      </c>
    </row>
    <row r="1144" spans="1:4" x14ac:dyDescent="0.25">
      <c r="A1144" t="s">
        <v>12</v>
      </c>
      <c r="B1144" t="s">
        <v>11</v>
      </c>
      <c r="C1144">
        <v>78.180059999999997</v>
      </c>
      <c r="D1144" s="1">
        <v>43160</v>
      </c>
    </row>
    <row r="1145" spans="1:4" x14ac:dyDescent="0.25">
      <c r="A1145" t="s">
        <v>12</v>
      </c>
      <c r="B1145" t="s">
        <v>11</v>
      </c>
      <c r="C1145">
        <v>79.407610000000005</v>
      </c>
      <c r="D1145" s="1">
        <v>43191</v>
      </c>
    </row>
    <row r="1146" spans="1:4" x14ac:dyDescent="0.25">
      <c r="A1146" t="s">
        <v>12</v>
      </c>
      <c r="B1146" t="s">
        <v>11</v>
      </c>
      <c r="C1146">
        <v>75.64922</v>
      </c>
      <c r="D1146" s="1">
        <v>43221</v>
      </c>
    </row>
    <row r="1147" spans="1:4" x14ac:dyDescent="0.25">
      <c r="A1147" t="s">
        <v>12</v>
      </c>
      <c r="B1147" t="s">
        <v>11</v>
      </c>
      <c r="C1147">
        <v>75.829989999999995</v>
      </c>
      <c r="D1147" s="1">
        <v>43252</v>
      </c>
    </row>
    <row r="1148" spans="1:4" x14ac:dyDescent="0.25">
      <c r="A1148" t="s">
        <v>12</v>
      </c>
      <c r="B1148" t="s">
        <v>11</v>
      </c>
      <c r="C1148">
        <v>73.371039999999994</v>
      </c>
      <c r="D1148" s="1">
        <v>43282</v>
      </c>
    </row>
    <row r="1149" spans="1:4" x14ac:dyDescent="0.25">
      <c r="A1149" t="s">
        <v>12</v>
      </c>
      <c r="B1149" t="s">
        <v>11</v>
      </c>
      <c r="C1149">
        <v>77.810109999999995</v>
      </c>
      <c r="D1149" s="1">
        <v>43313</v>
      </c>
    </row>
    <row r="1150" spans="1:4" x14ac:dyDescent="0.25">
      <c r="A1150" t="s">
        <v>12</v>
      </c>
      <c r="B1150" t="s">
        <v>11</v>
      </c>
      <c r="C1150">
        <v>77.766959999999997</v>
      </c>
      <c r="D1150" s="1">
        <v>43344</v>
      </c>
    </row>
    <row r="1151" spans="1:4" x14ac:dyDescent="0.25">
      <c r="A1151" t="s">
        <v>12</v>
      </c>
      <c r="B1151" t="s">
        <v>11</v>
      </c>
      <c r="C1151">
        <v>82.664420000000007</v>
      </c>
      <c r="D1151" s="1">
        <v>43374</v>
      </c>
    </row>
    <row r="1152" spans="1:4" x14ac:dyDescent="0.25">
      <c r="A1152" t="s">
        <v>12</v>
      </c>
      <c r="B1152" t="s">
        <v>11</v>
      </c>
      <c r="C1152">
        <v>78.912689999999998</v>
      </c>
      <c r="D1152" s="1">
        <v>43405</v>
      </c>
    </row>
    <row r="1153" spans="1:4" x14ac:dyDescent="0.25">
      <c r="A1153" t="s">
        <v>12</v>
      </c>
      <c r="B1153" t="s">
        <v>11</v>
      </c>
      <c r="C1153">
        <v>85.156589999999994</v>
      </c>
      <c r="D1153" s="1">
        <v>43435</v>
      </c>
    </row>
    <row r="1154" spans="1:4" x14ac:dyDescent="0.25">
      <c r="A1154" t="s">
        <v>12</v>
      </c>
      <c r="B1154" t="s">
        <v>11</v>
      </c>
      <c r="C1154">
        <v>83.522040000000004</v>
      </c>
      <c r="D1154" s="1">
        <v>43466</v>
      </c>
    </row>
    <row r="1155" spans="1:4" x14ac:dyDescent="0.25">
      <c r="A1155" t="s">
        <v>12</v>
      </c>
      <c r="B1155" t="s">
        <v>11</v>
      </c>
      <c r="C1155">
        <v>80.803269999999998</v>
      </c>
      <c r="D1155" s="1">
        <v>43497</v>
      </c>
    </row>
    <row r="1156" spans="1:4" x14ac:dyDescent="0.25">
      <c r="A1156" t="s">
        <v>12</v>
      </c>
      <c r="B1156" t="s">
        <v>11</v>
      </c>
      <c r="C1156">
        <v>79.805139999999994</v>
      </c>
      <c r="D1156" s="1">
        <v>43525</v>
      </c>
    </row>
    <row r="1157" spans="1:4" x14ac:dyDescent="0.25">
      <c r="A1157" t="s">
        <v>12</v>
      </c>
      <c r="B1157" t="s">
        <v>11</v>
      </c>
      <c r="C1157">
        <v>78.554079999999999</v>
      </c>
      <c r="D1157" s="1">
        <v>43556</v>
      </c>
    </row>
    <row r="1158" spans="1:4" x14ac:dyDescent="0.25">
      <c r="A1158" t="s">
        <v>12</v>
      </c>
      <c r="B1158" t="s">
        <v>11</v>
      </c>
      <c r="C1158">
        <v>81.825599999999994</v>
      </c>
      <c r="D1158" s="1">
        <v>43586</v>
      </c>
    </row>
    <row r="1159" spans="1:4" x14ac:dyDescent="0.25">
      <c r="A1159" t="s">
        <v>12</v>
      </c>
      <c r="B1159" t="s">
        <v>11</v>
      </c>
      <c r="C1159">
        <v>79.834180000000003</v>
      </c>
      <c r="D1159" s="1">
        <v>43617</v>
      </c>
    </row>
    <row r="1160" spans="1:4" x14ac:dyDescent="0.25">
      <c r="A1160" t="s">
        <v>12</v>
      </c>
      <c r="B1160" t="s">
        <v>11</v>
      </c>
      <c r="C1160">
        <v>84.495189999999994</v>
      </c>
      <c r="D1160" s="1">
        <v>43647</v>
      </c>
    </row>
    <row r="1161" spans="1:4" x14ac:dyDescent="0.25">
      <c r="A1161" t="s">
        <v>12</v>
      </c>
      <c r="B1161" t="s">
        <v>11</v>
      </c>
      <c r="C1161">
        <v>86.317850000000007</v>
      </c>
      <c r="D1161" s="1">
        <v>43678</v>
      </c>
    </row>
    <row r="1162" spans="1:4" x14ac:dyDescent="0.25">
      <c r="A1162" t="s">
        <v>12</v>
      </c>
      <c r="B1162" t="s">
        <v>11</v>
      </c>
      <c r="C1162">
        <v>85.30104</v>
      </c>
      <c r="D1162" s="1">
        <v>43709</v>
      </c>
    </row>
    <row r="1163" spans="1:4" x14ac:dyDescent="0.25">
      <c r="A1163" t="s">
        <v>12</v>
      </c>
      <c r="B1163" t="s">
        <v>11</v>
      </c>
      <c r="C1163">
        <v>86.020219999999995</v>
      </c>
      <c r="D1163" s="1">
        <v>43739</v>
      </c>
    </row>
    <row r="1164" spans="1:4" x14ac:dyDescent="0.25">
      <c r="A1164" t="s">
        <v>12</v>
      </c>
      <c r="B1164" t="s">
        <v>11</v>
      </c>
      <c r="C1164">
        <v>83.316609999999997</v>
      </c>
      <c r="D1164" s="1">
        <v>43770</v>
      </c>
    </row>
    <row r="1165" spans="1:4" x14ac:dyDescent="0.25">
      <c r="A1165" t="s">
        <v>12</v>
      </c>
      <c r="B1165" t="s">
        <v>11</v>
      </c>
      <c r="C1165">
        <v>100.98831</v>
      </c>
      <c r="D1165" s="1">
        <v>43800</v>
      </c>
    </row>
    <row r="1166" spans="1:4" x14ac:dyDescent="0.25">
      <c r="A1166" t="s">
        <v>12</v>
      </c>
      <c r="B1166" t="s">
        <v>11</v>
      </c>
      <c r="C1166">
        <v>96.085539999999995</v>
      </c>
      <c r="D1166" s="1">
        <v>43831</v>
      </c>
    </row>
    <row r="1167" spans="1:4" x14ac:dyDescent="0.25">
      <c r="A1167" t="s">
        <v>12</v>
      </c>
      <c r="B1167" t="s">
        <v>11</v>
      </c>
      <c r="C1167">
        <v>90.694969999999998</v>
      </c>
      <c r="D1167" s="1">
        <v>43862</v>
      </c>
    </row>
    <row r="1168" spans="1:4" x14ac:dyDescent="0.25">
      <c r="A1168" t="s">
        <v>12</v>
      </c>
      <c r="B1168" t="s">
        <v>11</v>
      </c>
      <c r="C1168">
        <v>99.739540000000005</v>
      </c>
      <c r="D1168" s="1">
        <v>43891</v>
      </c>
    </row>
    <row r="1169" spans="1:4" x14ac:dyDescent="0.25">
      <c r="A1169" t="s">
        <v>12</v>
      </c>
      <c r="B1169" t="s">
        <v>11</v>
      </c>
      <c r="C1169">
        <v>88.057460000000006</v>
      </c>
      <c r="D1169" s="1">
        <v>43922</v>
      </c>
    </row>
    <row r="1170" spans="1:4" x14ac:dyDescent="0.25">
      <c r="A1170" t="s">
        <v>12</v>
      </c>
      <c r="B1170" t="s">
        <v>11</v>
      </c>
      <c r="C1170">
        <v>83.798280000000005</v>
      </c>
      <c r="D1170" s="1">
        <v>43952</v>
      </c>
    </row>
    <row r="1171" spans="1:4" x14ac:dyDescent="0.25">
      <c r="A1171" t="s">
        <v>12</v>
      </c>
      <c r="B1171" t="s">
        <v>11</v>
      </c>
      <c r="C1171">
        <v>91.652060000000006</v>
      </c>
      <c r="D1171" s="1">
        <v>43983</v>
      </c>
    </row>
    <row r="1172" spans="1:4" x14ac:dyDescent="0.25">
      <c r="A1172" t="s">
        <v>12</v>
      </c>
      <c r="B1172" t="s">
        <v>11</v>
      </c>
      <c r="C1172">
        <v>95.158609999999996</v>
      </c>
      <c r="D1172" s="1">
        <v>44013</v>
      </c>
    </row>
    <row r="1173" spans="1:4" x14ac:dyDescent="0.25">
      <c r="A1173" t="s">
        <v>12</v>
      </c>
      <c r="B1173" t="s">
        <v>11</v>
      </c>
      <c r="C1173">
        <v>99.265680000000003</v>
      </c>
      <c r="D1173" s="1">
        <v>44044</v>
      </c>
    </row>
    <row r="1174" spans="1:4" x14ac:dyDescent="0.25">
      <c r="A1174" t="s">
        <v>12</v>
      </c>
      <c r="B1174" t="s">
        <v>11</v>
      </c>
      <c r="C1174">
        <v>108.00378000000001</v>
      </c>
      <c r="D1174" s="1">
        <v>44075</v>
      </c>
    </row>
    <row r="1175" spans="1:4" x14ac:dyDescent="0.25">
      <c r="A1175" t="s">
        <v>12</v>
      </c>
      <c r="B1175" t="s">
        <v>11</v>
      </c>
      <c r="C1175">
        <v>98.260350000000003</v>
      </c>
      <c r="D1175" s="1">
        <v>44105</v>
      </c>
    </row>
    <row r="1176" spans="1:4" x14ac:dyDescent="0.25">
      <c r="A1176" t="s">
        <v>12</v>
      </c>
      <c r="B1176" t="s">
        <v>11</v>
      </c>
      <c r="C1176">
        <v>96.621560000000002</v>
      </c>
      <c r="D1176" s="1">
        <v>44136</v>
      </c>
    </row>
    <row r="1177" spans="1:4" x14ac:dyDescent="0.25">
      <c r="A1177" t="s">
        <v>12</v>
      </c>
      <c r="B1177" t="s">
        <v>11</v>
      </c>
      <c r="C1177">
        <v>110.79907</v>
      </c>
      <c r="D1177" s="1">
        <v>44166</v>
      </c>
    </row>
    <row r="1178" spans="1:4" x14ac:dyDescent="0.25">
      <c r="A1178" t="s">
        <v>12</v>
      </c>
      <c r="B1178" t="s">
        <v>11</v>
      </c>
      <c r="C1178">
        <v>94.448580000000007</v>
      </c>
      <c r="D1178" s="1">
        <v>44197</v>
      </c>
    </row>
    <row r="1179" spans="1:4" x14ac:dyDescent="0.25">
      <c r="A1179" t="s">
        <v>12</v>
      </c>
      <c r="B1179" t="s">
        <v>11</v>
      </c>
      <c r="C1179">
        <v>93.90737</v>
      </c>
      <c r="D1179" s="1">
        <v>44228</v>
      </c>
    </row>
    <row r="1180" spans="1:4" x14ac:dyDescent="0.25">
      <c r="A1180" t="s">
        <v>12</v>
      </c>
      <c r="B1180" t="s">
        <v>11</v>
      </c>
      <c r="C1180">
        <v>104.45796</v>
      </c>
      <c r="D1180" s="1">
        <v>44256</v>
      </c>
    </row>
    <row r="1181" spans="1:4" x14ac:dyDescent="0.25">
      <c r="A1181" t="s">
        <v>12</v>
      </c>
      <c r="B1181" t="s">
        <v>11</v>
      </c>
      <c r="C1181">
        <v>98.660960000000003</v>
      </c>
      <c r="D1181" s="1">
        <v>44287</v>
      </c>
    </row>
    <row r="1182" spans="1:4" x14ac:dyDescent="0.25">
      <c r="A1182" t="s">
        <v>12</v>
      </c>
      <c r="B1182" t="s">
        <v>11</v>
      </c>
      <c r="C1182">
        <v>100.03025</v>
      </c>
      <c r="D1182" s="1">
        <v>44317</v>
      </c>
    </row>
    <row r="1183" spans="1:4" x14ac:dyDescent="0.25">
      <c r="A1183" t="s">
        <v>12</v>
      </c>
      <c r="B1183" t="s">
        <v>11</v>
      </c>
      <c r="C1183">
        <v>101.51955</v>
      </c>
      <c r="D1183" s="1">
        <v>44348</v>
      </c>
    </row>
    <row r="1184" spans="1:4" x14ac:dyDescent="0.25">
      <c r="A1184" t="s">
        <v>12</v>
      </c>
      <c r="B1184" t="s">
        <v>11</v>
      </c>
      <c r="C1184">
        <v>108.79747</v>
      </c>
      <c r="D1184" s="1">
        <v>44378</v>
      </c>
    </row>
    <row r="1185" spans="1:4" x14ac:dyDescent="0.25">
      <c r="A1185" t="s">
        <v>12</v>
      </c>
      <c r="B1185" t="s">
        <v>11</v>
      </c>
      <c r="C1185">
        <v>110.71642</v>
      </c>
      <c r="D1185" s="1">
        <v>44409</v>
      </c>
    </row>
    <row r="1186" spans="1:4" x14ac:dyDescent="0.25">
      <c r="A1186" t="s">
        <v>12</v>
      </c>
      <c r="B1186" t="s">
        <v>11</v>
      </c>
      <c r="C1186">
        <v>98.330430000000007</v>
      </c>
      <c r="D1186" s="1">
        <v>44440</v>
      </c>
    </row>
    <row r="1187" spans="1:4" x14ac:dyDescent="0.25">
      <c r="A1187" t="s">
        <v>12</v>
      </c>
      <c r="B1187" t="s">
        <v>11</v>
      </c>
      <c r="C1187">
        <v>94.133139999999997</v>
      </c>
      <c r="D1187" s="1">
        <v>44470</v>
      </c>
    </row>
    <row r="1188" spans="1:4" x14ac:dyDescent="0.25">
      <c r="A1188" t="s">
        <v>12</v>
      </c>
      <c r="B1188" t="s">
        <v>11</v>
      </c>
      <c r="C1188">
        <v>93.852639999999994</v>
      </c>
      <c r="D1188" s="1">
        <v>44501</v>
      </c>
    </row>
    <row r="1189" spans="1:4" x14ac:dyDescent="0.25">
      <c r="A1189" t="s">
        <v>12</v>
      </c>
      <c r="B1189" t="s">
        <v>11</v>
      </c>
      <c r="C1189">
        <v>105.06393</v>
      </c>
      <c r="D1189" s="1">
        <v>44531</v>
      </c>
    </row>
    <row r="1190" spans="1:4" x14ac:dyDescent="0.25">
      <c r="A1190" t="s">
        <v>12</v>
      </c>
      <c r="B1190" t="s">
        <v>11</v>
      </c>
      <c r="C1190">
        <v>99.354079999999996</v>
      </c>
      <c r="D1190" s="1">
        <v>44562</v>
      </c>
    </row>
    <row r="1191" spans="1:4" x14ac:dyDescent="0.25">
      <c r="A1191" t="s">
        <v>12</v>
      </c>
      <c r="B1191" t="s">
        <v>11</v>
      </c>
      <c r="C1191">
        <v>91.305059999999997</v>
      </c>
      <c r="D1191" s="1">
        <v>44593</v>
      </c>
    </row>
    <row r="1192" spans="1:4" x14ac:dyDescent="0.25">
      <c r="A1192" t="s">
        <v>12</v>
      </c>
      <c r="B1192" t="s">
        <v>11</v>
      </c>
      <c r="C1192">
        <v>98.514420000000001</v>
      </c>
      <c r="D1192" s="1">
        <v>44621</v>
      </c>
    </row>
    <row r="1193" spans="1:4" x14ac:dyDescent="0.25">
      <c r="A1193" t="s">
        <v>12</v>
      </c>
      <c r="B1193" t="s">
        <v>11</v>
      </c>
      <c r="C1193">
        <v>89.639880000000005</v>
      </c>
      <c r="D1193" s="1">
        <v>44652</v>
      </c>
    </row>
    <row r="1194" spans="1:4" x14ac:dyDescent="0.25">
      <c r="A1194" t="s">
        <v>12</v>
      </c>
      <c r="B1194" t="s">
        <v>11</v>
      </c>
      <c r="C1194">
        <v>98.546149999999997</v>
      </c>
      <c r="D1194" s="1">
        <v>44682</v>
      </c>
    </row>
    <row r="1195" spans="1:4" x14ac:dyDescent="0.25">
      <c r="A1195" t="s">
        <v>12</v>
      </c>
      <c r="B1195" t="s">
        <v>11</v>
      </c>
      <c r="C1195">
        <v>96.768320000000003</v>
      </c>
      <c r="D1195" s="1">
        <v>44713</v>
      </c>
    </row>
    <row r="1196" spans="1:4" x14ac:dyDescent="0.25">
      <c r="A1196" t="s">
        <v>12</v>
      </c>
      <c r="B1196" t="s">
        <v>11</v>
      </c>
      <c r="C1196">
        <v>92.322370000000006</v>
      </c>
      <c r="D1196" s="1">
        <v>44743</v>
      </c>
    </row>
    <row r="1197" spans="1:4" x14ac:dyDescent="0.25">
      <c r="A1197" t="s">
        <v>12</v>
      </c>
      <c r="B1197" t="s">
        <v>11</v>
      </c>
      <c r="C1197">
        <v>112.52891</v>
      </c>
      <c r="D1197" s="1">
        <v>44774</v>
      </c>
    </row>
    <row r="1198" spans="1:4" x14ac:dyDescent="0.25">
      <c r="A1198" t="s">
        <v>12</v>
      </c>
      <c r="B1198" t="s">
        <v>11</v>
      </c>
      <c r="C1198">
        <v>99.008570000000006</v>
      </c>
      <c r="D1198" s="1">
        <v>44805</v>
      </c>
    </row>
    <row r="1199" spans="1:4" x14ac:dyDescent="0.25">
      <c r="A1199" t="s">
        <v>12</v>
      </c>
      <c r="B1199" t="s">
        <v>11</v>
      </c>
      <c r="C1199">
        <v>98.707560000000001</v>
      </c>
      <c r="D1199" s="1">
        <v>44835</v>
      </c>
    </row>
    <row r="1200" spans="1:4" x14ac:dyDescent="0.25">
      <c r="A1200" t="s">
        <v>12</v>
      </c>
      <c r="B1200" t="s">
        <v>11</v>
      </c>
      <c r="C1200">
        <v>100.91063</v>
      </c>
      <c r="D1200" s="1">
        <v>44866</v>
      </c>
    </row>
    <row r="1201" spans="1:4" x14ac:dyDescent="0.25">
      <c r="A1201" t="s">
        <v>12</v>
      </c>
      <c r="B1201" t="s">
        <v>11</v>
      </c>
      <c r="C1201">
        <v>122.39406</v>
      </c>
      <c r="D1201" s="1">
        <v>44896</v>
      </c>
    </row>
    <row r="1202" spans="1:4" x14ac:dyDescent="0.25">
      <c r="A1202" t="s">
        <v>12</v>
      </c>
      <c r="B1202" t="s">
        <v>11</v>
      </c>
      <c r="C1202">
        <v>93.88306</v>
      </c>
      <c r="D1202" s="1">
        <v>44927</v>
      </c>
    </row>
    <row r="1203" spans="1:4" x14ac:dyDescent="0.25">
      <c r="A1203" t="s">
        <v>12</v>
      </c>
      <c r="B1203" t="s">
        <v>11</v>
      </c>
      <c r="C1203">
        <v>90.661829999999995</v>
      </c>
      <c r="D1203" s="1">
        <v>44958</v>
      </c>
    </row>
    <row r="1204" spans="1:4" x14ac:dyDescent="0.25">
      <c r="A1204" t="s">
        <v>12</v>
      </c>
      <c r="B1204" t="s">
        <v>11</v>
      </c>
      <c r="C1204">
        <v>98.60463</v>
      </c>
      <c r="D1204" s="1">
        <v>44986</v>
      </c>
    </row>
    <row r="1205" spans="1:4" x14ac:dyDescent="0.25">
      <c r="A1205" t="s">
        <v>12</v>
      </c>
      <c r="B1205" t="s">
        <v>11</v>
      </c>
      <c r="C1205">
        <v>89.901989999999998</v>
      </c>
      <c r="D1205" s="1">
        <v>45017</v>
      </c>
    </row>
    <row r="1206" spans="1:4" x14ac:dyDescent="0.25">
      <c r="A1206" t="s">
        <v>12</v>
      </c>
      <c r="B1206" t="s">
        <v>11</v>
      </c>
      <c r="C1206">
        <v>98.438379999999995</v>
      </c>
      <c r="D1206" s="1">
        <v>45047</v>
      </c>
    </row>
    <row r="1207" spans="1:4" x14ac:dyDescent="0.25">
      <c r="A1207" t="s">
        <v>12</v>
      </c>
      <c r="B1207" t="s">
        <v>11</v>
      </c>
      <c r="C1207">
        <v>96.433520000000001</v>
      </c>
      <c r="D1207" s="1">
        <v>45078</v>
      </c>
    </row>
    <row r="1208" spans="1:4" x14ac:dyDescent="0.25">
      <c r="A1208" t="s">
        <v>12</v>
      </c>
      <c r="B1208" t="s">
        <v>11</v>
      </c>
      <c r="C1208">
        <v>96.901809999999998</v>
      </c>
      <c r="D1208" s="1">
        <v>45108</v>
      </c>
    </row>
    <row r="1209" spans="1:4" x14ac:dyDescent="0.25">
      <c r="A1209" t="s">
        <v>12</v>
      </c>
      <c r="B1209" t="s">
        <v>11</v>
      </c>
      <c r="C1209">
        <v>99.741349999999997</v>
      </c>
      <c r="D1209" s="1">
        <v>45139</v>
      </c>
    </row>
    <row r="1210" spans="1:4" x14ac:dyDescent="0.25">
      <c r="A1210" t="s">
        <v>12</v>
      </c>
      <c r="B1210" t="s">
        <v>11</v>
      </c>
      <c r="C1210">
        <v>92.720060000000004</v>
      </c>
      <c r="D1210" s="1">
        <v>45170</v>
      </c>
    </row>
    <row r="1211" spans="1:4" x14ac:dyDescent="0.25">
      <c r="A1211" t="s">
        <v>12</v>
      </c>
      <c r="B1211" t="s">
        <v>11</v>
      </c>
      <c r="C1211">
        <v>95.530690000000007</v>
      </c>
      <c r="D1211" s="1">
        <v>45200</v>
      </c>
    </row>
    <row r="1212" spans="1:4" x14ac:dyDescent="0.25">
      <c r="A1212" t="s">
        <v>12</v>
      </c>
      <c r="B1212" t="s">
        <v>11</v>
      </c>
      <c r="C1212">
        <v>99.015349999999998</v>
      </c>
      <c r="D1212" s="1">
        <v>45231</v>
      </c>
    </row>
    <row r="1213" spans="1:4" x14ac:dyDescent="0.25">
      <c r="A1213" t="s">
        <v>12</v>
      </c>
      <c r="B1213" t="s">
        <v>11</v>
      </c>
      <c r="C1213">
        <v>107.93715</v>
      </c>
      <c r="D1213" s="1">
        <v>45261</v>
      </c>
    </row>
    <row r="1214" spans="1:4" x14ac:dyDescent="0.25">
      <c r="A1214" t="s">
        <v>12</v>
      </c>
      <c r="B1214" t="s">
        <v>11</v>
      </c>
      <c r="C1214">
        <v>95.964510000000004</v>
      </c>
      <c r="D1214" s="1">
        <v>45292</v>
      </c>
    </row>
    <row r="1215" spans="1:4" x14ac:dyDescent="0.25">
      <c r="A1215" t="s">
        <v>12</v>
      </c>
      <c r="B1215" t="s">
        <v>11</v>
      </c>
      <c r="C1215">
        <v>93.5398</v>
      </c>
      <c r="D1215" s="1">
        <v>45323</v>
      </c>
    </row>
    <row r="1216" spans="1:4" x14ac:dyDescent="0.25">
      <c r="A1216" t="s">
        <v>12</v>
      </c>
      <c r="B1216" t="s">
        <v>11</v>
      </c>
      <c r="C1216">
        <v>95.612970000000004</v>
      </c>
      <c r="D1216" s="1">
        <v>45352</v>
      </c>
    </row>
    <row r="1217" spans="1:4" x14ac:dyDescent="0.25">
      <c r="A1217" t="s">
        <v>12</v>
      </c>
      <c r="B1217" t="s">
        <v>11</v>
      </c>
      <c r="C1217">
        <v>96.465779999999995</v>
      </c>
      <c r="D1217" s="1">
        <v>45383</v>
      </c>
    </row>
    <row r="1218" spans="1:4" x14ac:dyDescent="0.25">
      <c r="A1218" t="s">
        <v>12</v>
      </c>
      <c r="B1218" t="s">
        <v>11</v>
      </c>
      <c r="C1218">
        <v>98.182749999999999</v>
      </c>
      <c r="D1218" s="1">
        <v>45413</v>
      </c>
    </row>
    <row r="1219" spans="1:4" x14ac:dyDescent="0.25">
      <c r="A1219" t="s">
        <v>12</v>
      </c>
      <c r="B1219" t="s">
        <v>11</v>
      </c>
      <c r="C1219">
        <v>95.743579999999994</v>
      </c>
      <c r="D1219" s="1">
        <v>45444</v>
      </c>
    </row>
    <row r="1220" spans="1:4" x14ac:dyDescent="0.25">
      <c r="A1220" t="s">
        <v>12</v>
      </c>
      <c r="B1220" t="s">
        <v>11</v>
      </c>
      <c r="C1220">
        <v>97.107010000000002</v>
      </c>
      <c r="D1220" s="1">
        <v>45474</v>
      </c>
    </row>
    <row r="1221" spans="1:4" x14ac:dyDescent="0.25">
      <c r="A1221" t="s">
        <v>12</v>
      </c>
      <c r="B1221" t="s">
        <v>11</v>
      </c>
      <c r="C1221">
        <v>101.11117</v>
      </c>
      <c r="D1221" s="1">
        <v>45505</v>
      </c>
    </row>
    <row r="1222" spans="1:4" x14ac:dyDescent="0.25">
      <c r="A1222" t="s">
        <v>12</v>
      </c>
      <c r="B1222" t="s">
        <v>11</v>
      </c>
      <c r="C1222">
        <v>94.250799999999998</v>
      </c>
      <c r="D1222" s="1">
        <v>45536</v>
      </c>
    </row>
    <row r="1223" spans="1:4" x14ac:dyDescent="0.25">
      <c r="A1223" t="s">
        <v>12</v>
      </c>
      <c r="B1223" t="s">
        <v>11</v>
      </c>
      <c r="C1223">
        <v>94.227699999999999</v>
      </c>
      <c r="D1223" s="1">
        <v>45566</v>
      </c>
    </row>
    <row r="1224" spans="1:4" x14ac:dyDescent="0.25">
      <c r="A1224" t="s">
        <v>12</v>
      </c>
      <c r="B1224" t="s">
        <v>11</v>
      </c>
      <c r="C1224">
        <v>94.629909999999995</v>
      </c>
      <c r="D1224" s="1">
        <v>45597</v>
      </c>
    </row>
    <row r="1225" spans="1:4" x14ac:dyDescent="0.25">
      <c r="A1225" t="s">
        <v>12</v>
      </c>
      <c r="B1225" t="s">
        <v>11</v>
      </c>
      <c r="C1225">
        <v>101.34941000000001</v>
      </c>
      <c r="D1225" s="1">
        <v>45627</v>
      </c>
    </row>
    <row r="1226" spans="1:4" x14ac:dyDescent="0.25">
      <c r="A1226" t="s">
        <v>12</v>
      </c>
      <c r="B1226" t="s">
        <v>11</v>
      </c>
      <c r="C1226">
        <v>93.921300000000002</v>
      </c>
      <c r="D1226" s="1">
        <v>45658</v>
      </c>
    </row>
    <row r="1227" spans="1:4" x14ac:dyDescent="0.25">
      <c r="A1227" t="s">
        <v>12</v>
      </c>
      <c r="B1227" t="s">
        <v>11</v>
      </c>
      <c r="C1227">
        <v>94.146079999999998</v>
      </c>
      <c r="D1227" s="1">
        <v>45689</v>
      </c>
    </row>
    <row r="1228" spans="1:4" x14ac:dyDescent="0.25">
      <c r="A1228" t="s">
        <v>12</v>
      </c>
      <c r="B1228" t="s">
        <v>11</v>
      </c>
      <c r="C1228">
        <v>92.93374</v>
      </c>
      <c r="D1228" s="1">
        <v>45717</v>
      </c>
    </row>
    <row r="1229" spans="1:4" x14ac:dyDescent="0.25">
      <c r="A1229" t="s">
        <v>12</v>
      </c>
      <c r="B1229" t="s">
        <v>11</v>
      </c>
      <c r="C1229">
        <v>92.272890000000004</v>
      </c>
      <c r="D1229" s="1">
        <v>45748</v>
      </c>
    </row>
    <row r="1230" spans="1:4" x14ac:dyDescent="0.25">
      <c r="A1230" t="s">
        <v>12</v>
      </c>
      <c r="B1230" t="s">
        <v>11</v>
      </c>
      <c r="C1230">
        <v>97.084220000000002</v>
      </c>
      <c r="D1230" s="1">
        <v>45778</v>
      </c>
    </row>
    <row r="1231" spans="1:4" x14ac:dyDescent="0.25">
      <c r="A1231" t="s">
        <v>12</v>
      </c>
      <c r="B1231" t="s">
        <v>11</v>
      </c>
      <c r="C1231">
        <v>94.578239999999994</v>
      </c>
      <c r="D1231" s="1">
        <v>45809</v>
      </c>
    </row>
    <row r="1232" spans="1:4" x14ac:dyDescent="0.25">
      <c r="A1232" t="s">
        <v>12</v>
      </c>
      <c r="B1232" t="s">
        <v>11</v>
      </c>
      <c r="C1232">
        <v>95.923540000000003</v>
      </c>
      <c r="D1232" s="1">
        <v>45839</v>
      </c>
    </row>
    <row r="1233" spans="1:4" x14ac:dyDescent="0.25">
      <c r="A1233" t="s">
        <v>12</v>
      </c>
      <c r="B1233" t="s">
        <v>11</v>
      </c>
      <c r="C1233">
        <v>97.670670000000001</v>
      </c>
      <c r="D1233" s="1">
        <v>45870</v>
      </c>
    </row>
    <row r="1234" spans="1:4" x14ac:dyDescent="0.25">
      <c r="A1234" t="s">
        <v>12</v>
      </c>
      <c r="B1234" t="s">
        <v>10</v>
      </c>
      <c r="C1234">
        <v>70.60351</v>
      </c>
      <c r="D1234" s="1">
        <v>40544</v>
      </c>
    </row>
    <row r="1235" spans="1:4" x14ac:dyDescent="0.25">
      <c r="A1235" t="s">
        <v>12</v>
      </c>
      <c r="B1235" t="s">
        <v>10</v>
      </c>
      <c r="C1235">
        <v>72.710589999999996</v>
      </c>
      <c r="D1235" s="1">
        <v>40575</v>
      </c>
    </row>
    <row r="1236" spans="1:4" x14ac:dyDescent="0.25">
      <c r="A1236" t="s">
        <v>12</v>
      </c>
      <c r="B1236" t="s">
        <v>10</v>
      </c>
      <c r="C1236">
        <v>76.732780000000005</v>
      </c>
      <c r="D1236" s="1">
        <v>40603</v>
      </c>
    </row>
    <row r="1237" spans="1:4" x14ac:dyDescent="0.25">
      <c r="A1237" t="s">
        <v>12</v>
      </c>
      <c r="B1237" t="s">
        <v>10</v>
      </c>
      <c r="C1237">
        <v>77.509060000000005</v>
      </c>
      <c r="D1237" s="1">
        <v>40634</v>
      </c>
    </row>
    <row r="1238" spans="1:4" x14ac:dyDescent="0.25">
      <c r="A1238" t="s">
        <v>12</v>
      </c>
      <c r="B1238" t="s">
        <v>10</v>
      </c>
      <c r="C1238">
        <v>84.189790000000002</v>
      </c>
      <c r="D1238" s="1">
        <v>40664</v>
      </c>
    </row>
    <row r="1239" spans="1:4" x14ac:dyDescent="0.25">
      <c r="A1239" t="s">
        <v>12</v>
      </c>
      <c r="B1239" t="s">
        <v>10</v>
      </c>
      <c r="C1239">
        <v>83.040769999999995</v>
      </c>
      <c r="D1239" s="1">
        <v>40695</v>
      </c>
    </row>
    <row r="1240" spans="1:4" x14ac:dyDescent="0.25">
      <c r="A1240" t="s">
        <v>12</v>
      </c>
      <c r="B1240" t="s">
        <v>10</v>
      </c>
      <c r="C1240">
        <v>85.631360000000001</v>
      </c>
      <c r="D1240" s="1">
        <v>40725</v>
      </c>
    </row>
    <row r="1241" spans="1:4" x14ac:dyDescent="0.25">
      <c r="A1241" t="s">
        <v>12</v>
      </c>
      <c r="B1241" t="s">
        <v>10</v>
      </c>
      <c r="C1241">
        <v>87.206440000000001</v>
      </c>
      <c r="D1241" s="1">
        <v>40756</v>
      </c>
    </row>
    <row r="1242" spans="1:4" x14ac:dyDescent="0.25">
      <c r="A1242" t="s">
        <v>12</v>
      </c>
      <c r="B1242" t="s">
        <v>10</v>
      </c>
      <c r="C1242">
        <v>83.432040000000001</v>
      </c>
      <c r="D1242" s="1">
        <v>40787</v>
      </c>
    </row>
    <row r="1243" spans="1:4" x14ac:dyDescent="0.25">
      <c r="A1243" t="s">
        <v>12</v>
      </c>
      <c r="B1243" t="s">
        <v>10</v>
      </c>
      <c r="C1243">
        <v>84.029219999999995</v>
      </c>
      <c r="D1243" s="1">
        <v>40817</v>
      </c>
    </row>
    <row r="1244" spans="1:4" x14ac:dyDescent="0.25">
      <c r="A1244" t="s">
        <v>12</v>
      </c>
      <c r="B1244" t="s">
        <v>10</v>
      </c>
      <c r="C1244">
        <v>82.691559999999996</v>
      </c>
      <c r="D1244" s="1">
        <v>40848</v>
      </c>
    </row>
    <row r="1245" spans="1:4" x14ac:dyDescent="0.25">
      <c r="A1245" t="s">
        <v>12</v>
      </c>
      <c r="B1245" t="s">
        <v>10</v>
      </c>
      <c r="C1245">
        <v>83.497429999999994</v>
      </c>
      <c r="D1245" s="1">
        <v>40878</v>
      </c>
    </row>
    <row r="1246" spans="1:4" x14ac:dyDescent="0.25">
      <c r="A1246" t="s">
        <v>12</v>
      </c>
      <c r="B1246" t="s">
        <v>10</v>
      </c>
      <c r="C1246">
        <v>73.536749999999998</v>
      </c>
      <c r="D1246" s="1">
        <v>40909</v>
      </c>
    </row>
    <row r="1247" spans="1:4" x14ac:dyDescent="0.25">
      <c r="A1247" t="s">
        <v>12</v>
      </c>
      <c r="B1247" t="s">
        <v>10</v>
      </c>
      <c r="C1247">
        <v>72.407939999999996</v>
      </c>
      <c r="D1247" s="1">
        <v>40940</v>
      </c>
    </row>
    <row r="1248" spans="1:4" x14ac:dyDescent="0.25">
      <c r="A1248" t="s">
        <v>12</v>
      </c>
      <c r="B1248" t="s">
        <v>10</v>
      </c>
      <c r="C1248">
        <v>84.967600000000004</v>
      </c>
      <c r="D1248" s="1">
        <v>40969</v>
      </c>
    </row>
    <row r="1249" spans="1:4" x14ac:dyDescent="0.25">
      <c r="A1249" t="s">
        <v>12</v>
      </c>
      <c r="B1249" t="s">
        <v>10</v>
      </c>
      <c r="C1249">
        <v>80.010810000000006</v>
      </c>
      <c r="D1249" s="1">
        <v>41000</v>
      </c>
    </row>
    <row r="1250" spans="1:4" x14ac:dyDescent="0.25">
      <c r="A1250" t="s">
        <v>12</v>
      </c>
      <c r="B1250" t="s">
        <v>10</v>
      </c>
      <c r="C1250">
        <v>86.207470000000001</v>
      </c>
      <c r="D1250" s="1">
        <v>41030</v>
      </c>
    </row>
    <row r="1251" spans="1:4" x14ac:dyDescent="0.25">
      <c r="A1251" t="s">
        <v>12</v>
      </c>
      <c r="B1251" t="s">
        <v>10</v>
      </c>
      <c r="C1251">
        <v>83.771190000000004</v>
      </c>
      <c r="D1251" s="1">
        <v>41061</v>
      </c>
    </row>
    <row r="1252" spans="1:4" x14ac:dyDescent="0.25">
      <c r="A1252" t="s">
        <v>12</v>
      </c>
      <c r="B1252" t="s">
        <v>10</v>
      </c>
      <c r="C1252">
        <v>86.909549999999996</v>
      </c>
      <c r="D1252" s="1">
        <v>41091</v>
      </c>
    </row>
    <row r="1253" spans="1:4" x14ac:dyDescent="0.25">
      <c r="A1253" t="s">
        <v>12</v>
      </c>
      <c r="B1253" t="s">
        <v>10</v>
      </c>
      <c r="C1253">
        <v>96.355379999999997</v>
      </c>
      <c r="D1253" s="1">
        <v>41122</v>
      </c>
    </row>
    <row r="1254" spans="1:4" x14ac:dyDescent="0.25">
      <c r="A1254" t="s">
        <v>12</v>
      </c>
      <c r="B1254" t="s">
        <v>10</v>
      </c>
      <c r="C1254">
        <v>91.538790000000006</v>
      </c>
      <c r="D1254" s="1">
        <v>41153</v>
      </c>
    </row>
    <row r="1255" spans="1:4" x14ac:dyDescent="0.25">
      <c r="A1255" t="s">
        <v>12</v>
      </c>
      <c r="B1255" t="s">
        <v>10</v>
      </c>
      <c r="C1255">
        <v>97.057869999999994</v>
      </c>
      <c r="D1255" s="1">
        <v>41183</v>
      </c>
    </row>
    <row r="1256" spans="1:4" x14ac:dyDescent="0.25">
      <c r="A1256" t="s">
        <v>12</v>
      </c>
      <c r="B1256" t="s">
        <v>10</v>
      </c>
      <c r="C1256">
        <v>93.008139999999997</v>
      </c>
      <c r="D1256" s="1">
        <v>41214</v>
      </c>
    </row>
    <row r="1257" spans="1:4" x14ac:dyDescent="0.25">
      <c r="A1257" t="s">
        <v>12</v>
      </c>
      <c r="B1257" t="s">
        <v>10</v>
      </c>
      <c r="C1257">
        <v>89.172030000000007</v>
      </c>
      <c r="D1257" s="1">
        <v>41244</v>
      </c>
    </row>
    <row r="1258" spans="1:4" x14ac:dyDescent="0.25">
      <c r="A1258" t="s">
        <v>12</v>
      </c>
      <c r="B1258" t="s">
        <v>10</v>
      </c>
      <c r="C1258">
        <v>84.143150000000006</v>
      </c>
      <c r="D1258" s="1">
        <v>41275</v>
      </c>
    </row>
    <row r="1259" spans="1:4" x14ac:dyDescent="0.25">
      <c r="A1259" t="s">
        <v>12</v>
      </c>
      <c r="B1259" t="s">
        <v>10</v>
      </c>
      <c r="C1259">
        <v>77.529030000000006</v>
      </c>
      <c r="D1259" s="1">
        <v>41306</v>
      </c>
    </row>
    <row r="1260" spans="1:4" x14ac:dyDescent="0.25">
      <c r="A1260" t="s">
        <v>12</v>
      </c>
      <c r="B1260" t="s">
        <v>10</v>
      </c>
      <c r="C1260">
        <v>88.072329999999994</v>
      </c>
      <c r="D1260" s="1">
        <v>41334</v>
      </c>
    </row>
    <row r="1261" spans="1:4" x14ac:dyDescent="0.25">
      <c r="A1261" t="s">
        <v>12</v>
      </c>
      <c r="B1261" t="s">
        <v>10</v>
      </c>
      <c r="C1261">
        <v>91.910089999999997</v>
      </c>
      <c r="D1261" s="1">
        <v>41365</v>
      </c>
    </row>
    <row r="1262" spans="1:4" x14ac:dyDescent="0.25">
      <c r="A1262" t="s">
        <v>12</v>
      </c>
      <c r="B1262" t="s">
        <v>10</v>
      </c>
      <c r="C1262">
        <v>94.225620000000006</v>
      </c>
      <c r="D1262" s="1">
        <v>41395</v>
      </c>
    </row>
    <row r="1263" spans="1:4" x14ac:dyDescent="0.25">
      <c r="A1263" t="s">
        <v>12</v>
      </c>
      <c r="B1263" t="s">
        <v>10</v>
      </c>
      <c r="C1263">
        <v>89.352249999999998</v>
      </c>
      <c r="D1263" s="1">
        <v>41426</v>
      </c>
    </row>
    <row r="1264" spans="1:4" x14ac:dyDescent="0.25">
      <c r="A1264" t="s">
        <v>12</v>
      </c>
      <c r="B1264" t="s">
        <v>10</v>
      </c>
      <c r="C1264">
        <v>95.754050000000007</v>
      </c>
      <c r="D1264" s="1">
        <v>41456</v>
      </c>
    </row>
    <row r="1265" spans="1:4" x14ac:dyDescent="0.25">
      <c r="A1265" t="s">
        <v>12</v>
      </c>
      <c r="B1265" t="s">
        <v>10</v>
      </c>
      <c r="C1265">
        <v>98.412580000000005</v>
      </c>
      <c r="D1265" s="1">
        <v>41487</v>
      </c>
    </row>
    <row r="1266" spans="1:4" x14ac:dyDescent="0.25">
      <c r="A1266" t="s">
        <v>12</v>
      </c>
      <c r="B1266" t="s">
        <v>10</v>
      </c>
      <c r="C1266">
        <v>96.796090000000007</v>
      </c>
      <c r="D1266" s="1">
        <v>41518</v>
      </c>
    </row>
    <row r="1267" spans="1:4" x14ac:dyDescent="0.25">
      <c r="A1267" t="s">
        <v>12</v>
      </c>
      <c r="B1267" t="s">
        <v>10</v>
      </c>
      <c r="C1267">
        <v>103.21037</v>
      </c>
      <c r="D1267" s="1">
        <v>41548</v>
      </c>
    </row>
    <row r="1268" spans="1:4" x14ac:dyDescent="0.25">
      <c r="A1268" t="s">
        <v>12</v>
      </c>
      <c r="B1268" t="s">
        <v>10</v>
      </c>
      <c r="C1268">
        <v>96.511610000000005</v>
      </c>
      <c r="D1268" s="1">
        <v>41579</v>
      </c>
    </row>
    <row r="1269" spans="1:4" x14ac:dyDescent="0.25">
      <c r="A1269" t="s">
        <v>12</v>
      </c>
      <c r="B1269" t="s">
        <v>10</v>
      </c>
      <c r="C1269">
        <v>96.482740000000007</v>
      </c>
      <c r="D1269" s="1">
        <v>41609</v>
      </c>
    </row>
    <row r="1270" spans="1:4" x14ac:dyDescent="0.25">
      <c r="A1270" t="s">
        <v>12</v>
      </c>
      <c r="B1270" t="s">
        <v>10</v>
      </c>
      <c r="C1270">
        <v>88.815770000000001</v>
      </c>
      <c r="D1270" s="1">
        <v>41640</v>
      </c>
    </row>
    <row r="1271" spans="1:4" x14ac:dyDescent="0.25">
      <c r="A1271" t="s">
        <v>12</v>
      </c>
      <c r="B1271" t="s">
        <v>10</v>
      </c>
      <c r="C1271">
        <v>85.819540000000003</v>
      </c>
      <c r="D1271" s="1">
        <v>41671</v>
      </c>
    </row>
    <row r="1272" spans="1:4" x14ac:dyDescent="0.25">
      <c r="A1272" t="s">
        <v>12</v>
      </c>
      <c r="B1272" t="s">
        <v>10</v>
      </c>
      <c r="C1272">
        <v>90.347560000000001</v>
      </c>
      <c r="D1272" s="1">
        <v>41699</v>
      </c>
    </row>
    <row r="1273" spans="1:4" x14ac:dyDescent="0.25">
      <c r="A1273" t="s">
        <v>12</v>
      </c>
      <c r="B1273" t="s">
        <v>10</v>
      </c>
      <c r="C1273">
        <v>92.860330000000005</v>
      </c>
      <c r="D1273" s="1">
        <v>41730</v>
      </c>
    </row>
    <row r="1274" spans="1:4" x14ac:dyDescent="0.25">
      <c r="A1274" t="s">
        <v>12</v>
      </c>
      <c r="B1274" t="s">
        <v>10</v>
      </c>
      <c r="C1274">
        <v>96.675309999999996</v>
      </c>
      <c r="D1274" s="1">
        <v>41760</v>
      </c>
    </row>
    <row r="1275" spans="1:4" x14ac:dyDescent="0.25">
      <c r="A1275" t="s">
        <v>12</v>
      </c>
      <c r="B1275" t="s">
        <v>10</v>
      </c>
      <c r="C1275">
        <v>91.65616</v>
      </c>
      <c r="D1275" s="1">
        <v>41791</v>
      </c>
    </row>
    <row r="1276" spans="1:4" x14ac:dyDescent="0.25">
      <c r="A1276" t="s">
        <v>12</v>
      </c>
      <c r="B1276" t="s">
        <v>10</v>
      </c>
      <c r="C1276">
        <v>99.213880000000003</v>
      </c>
      <c r="D1276" s="1">
        <v>41821</v>
      </c>
    </row>
    <row r="1277" spans="1:4" x14ac:dyDescent="0.25">
      <c r="A1277" t="s">
        <v>12</v>
      </c>
      <c r="B1277" t="s">
        <v>10</v>
      </c>
      <c r="C1277">
        <v>98.929850000000002</v>
      </c>
      <c r="D1277" s="1">
        <v>41852</v>
      </c>
    </row>
    <row r="1278" spans="1:4" x14ac:dyDescent="0.25">
      <c r="A1278" t="s">
        <v>12</v>
      </c>
      <c r="B1278" t="s">
        <v>10</v>
      </c>
      <c r="C1278">
        <v>99.846220000000002</v>
      </c>
      <c r="D1278" s="1">
        <v>41883</v>
      </c>
    </row>
    <row r="1279" spans="1:4" x14ac:dyDescent="0.25">
      <c r="A1279" t="s">
        <v>12</v>
      </c>
      <c r="B1279" t="s">
        <v>10</v>
      </c>
      <c r="C1279">
        <v>101.66555</v>
      </c>
      <c r="D1279" s="1">
        <v>41913</v>
      </c>
    </row>
    <row r="1280" spans="1:4" x14ac:dyDescent="0.25">
      <c r="A1280" t="s">
        <v>12</v>
      </c>
      <c r="B1280" t="s">
        <v>10</v>
      </c>
      <c r="C1280">
        <v>97.675219999999996</v>
      </c>
      <c r="D1280" s="1">
        <v>41944</v>
      </c>
    </row>
    <row r="1281" spans="1:4" x14ac:dyDescent="0.25">
      <c r="A1281" t="s">
        <v>12</v>
      </c>
      <c r="B1281" t="s">
        <v>10</v>
      </c>
      <c r="C1281">
        <v>98.138710000000003</v>
      </c>
      <c r="D1281" s="1">
        <v>41974</v>
      </c>
    </row>
    <row r="1282" spans="1:4" x14ac:dyDescent="0.25">
      <c r="A1282" t="s">
        <v>12</v>
      </c>
      <c r="B1282" t="s">
        <v>10</v>
      </c>
      <c r="C1282">
        <v>82.871570000000006</v>
      </c>
      <c r="D1282" s="1">
        <v>42005</v>
      </c>
    </row>
    <row r="1283" spans="1:4" x14ac:dyDescent="0.25">
      <c r="A1283" t="s">
        <v>12</v>
      </c>
      <c r="B1283" t="s">
        <v>10</v>
      </c>
      <c r="C1283">
        <v>78.002859999999998</v>
      </c>
      <c r="D1283" s="1">
        <v>42036</v>
      </c>
    </row>
    <row r="1284" spans="1:4" x14ac:dyDescent="0.25">
      <c r="A1284" t="s">
        <v>12</v>
      </c>
      <c r="B1284" t="s">
        <v>10</v>
      </c>
      <c r="C1284">
        <v>93.477959999999996</v>
      </c>
      <c r="D1284" s="1">
        <v>42064</v>
      </c>
    </row>
    <row r="1285" spans="1:4" x14ac:dyDescent="0.25">
      <c r="A1285" t="s">
        <v>12</v>
      </c>
      <c r="B1285" t="s">
        <v>10</v>
      </c>
      <c r="C1285">
        <v>86.185280000000006</v>
      </c>
      <c r="D1285" s="1">
        <v>42095</v>
      </c>
    </row>
    <row r="1286" spans="1:4" x14ac:dyDescent="0.25">
      <c r="A1286" t="s">
        <v>12</v>
      </c>
      <c r="B1286" t="s">
        <v>10</v>
      </c>
      <c r="C1286">
        <v>89.420259999999999</v>
      </c>
      <c r="D1286" s="1">
        <v>42125</v>
      </c>
    </row>
    <row r="1287" spans="1:4" x14ac:dyDescent="0.25">
      <c r="A1287" t="s">
        <v>12</v>
      </c>
      <c r="B1287" t="s">
        <v>10</v>
      </c>
      <c r="C1287">
        <v>85.357399999999998</v>
      </c>
      <c r="D1287" s="1">
        <v>42156</v>
      </c>
    </row>
    <row r="1288" spans="1:4" x14ac:dyDescent="0.25">
      <c r="A1288" t="s">
        <v>12</v>
      </c>
      <c r="B1288" t="s">
        <v>10</v>
      </c>
      <c r="C1288">
        <v>88.651570000000007</v>
      </c>
      <c r="D1288" s="1">
        <v>42186</v>
      </c>
    </row>
    <row r="1289" spans="1:4" x14ac:dyDescent="0.25">
      <c r="A1289" t="s">
        <v>12</v>
      </c>
      <c r="B1289" t="s">
        <v>10</v>
      </c>
      <c r="C1289">
        <v>92.295019999999994</v>
      </c>
      <c r="D1289" s="1">
        <v>42217</v>
      </c>
    </row>
    <row r="1290" spans="1:4" x14ac:dyDescent="0.25">
      <c r="A1290" t="s">
        <v>12</v>
      </c>
      <c r="B1290" t="s">
        <v>10</v>
      </c>
      <c r="C1290">
        <v>89.347290000000001</v>
      </c>
      <c r="D1290" s="1">
        <v>42248</v>
      </c>
    </row>
    <row r="1291" spans="1:4" x14ac:dyDescent="0.25">
      <c r="A1291" t="s">
        <v>12</v>
      </c>
      <c r="B1291" t="s">
        <v>10</v>
      </c>
      <c r="C1291">
        <v>92.056349999999995</v>
      </c>
      <c r="D1291" s="1">
        <v>42278</v>
      </c>
    </row>
    <row r="1292" spans="1:4" x14ac:dyDescent="0.25">
      <c r="A1292" t="s">
        <v>12</v>
      </c>
      <c r="B1292" t="s">
        <v>10</v>
      </c>
      <c r="C1292">
        <v>85.605109999999996</v>
      </c>
      <c r="D1292" s="1">
        <v>42309</v>
      </c>
    </row>
    <row r="1293" spans="1:4" x14ac:dyDescent="0.25">
      <c r="A1293" t="s">
        <v>12</v>
      </c>
      <c r="B1293" t="s">
        <v>10</v>
      </c>
      <c r="C1293">
        <v>86.648759999999996</v>
      </c>
      <c r="D1293" s="1">
        <v>42339</v>
      </c>
    </row>
    <row r="1294" spans="1:4" x14ac:dyDescent="0.25">
      <c r="A1294" t="s">
        <v>12</v>
      </c>
      <c r="B1294" t="s">
        <v>10</v>
      </c>
      <c r="C1294">
        <v>76.716009999999997</v>
      </c>
      <c r="D1294" s="1">
        <v>42370</v>
      </c>
    </row>
    <row r="1295" spans="1:4" x14ac:dyDescent="0.25">
      <c r="A1295" t="s">
        <v>12</v>
      </c>
      <c r="B1295" t="s">
        <v>10</v>
      </c>
      <c r="C1295">
        <v>76.666780000000003</v>
      </c>
      <c r="D1295" s="1">
        <v>42401</v>
      </c>
    </row>
    <row r="1296" spans="1:4" x14ac:dyDescent="0.25">
      <c r="A1296" t="s">
        <v>12</v>
      </c>
      <c r="B1296" t="s">
        <v>10</v>
      </c>
      <c r="C1296">
        <v>87.297650000000004</v>
      </c>
      <c r="D1296" s="1">
        <v>42430</v>
      </c>
    </row>
    <row r="1297" spans="1:4" x14ac:dyDescent="0.25">
      <c r="A1297" t="s">
        <v>12</v>
      </c>
      <c r="B1297" t="s">
        <v>10</v>
      </c>
      <c r="C1297">
        <v>79.728229999999996</v>
      </c>
      <c r="D1297" s="1">
        <v>42461</v>
      </c>
    </row>
    <row r="1298" spans="1:4" x14ac:dyDescent="0.25">
      <c r="A1298" t="s">
        <v>12</v>
      </c>
      <c r="B1298" t="s">
        <v>10</v>
      </c>
      <c r="C1298">
        <v>81.738690000000005</v>
      </c>
      <c r="D1298" s="1">
        <v>42491</v>
      </c>
    </row>
    <row r="1299" spans="1:4" x14ac:dyDescent="0.25">
      <c r="A1299" t="s">
        <v>12</v>
      </c>
      <c r="B1299" t="s">
        <v>10</v>
      </c>
      <c r="C1299">
        <v>84.15558</v>
      </c>
      <c r="D1299" s="1">
        <v>42522</v>
      </c>
    </row>
    <row r="1300" spans="1:4" x14ac:dyDescent="0.25">
      <c r="A1300" t="s">
        <v>12</v>
      </c>
      <c r="B1300" t="s">
        <v>10</v>
      </c>
      <c r="C1300">
        <v>83.170240000000007</v>
      </c>
      <c r="D1300" s="1">
        <v>42552</v>
      </c>
    </row>
    <row r="1301" spans="1:4" x14ac:dyDescent="0.25">
      <c r="A1301" t="s">
        <v>12</v>
      </c>
      <c r="B1301" t="s">
        <v>10</v>
      </c>
      <c r="C1301">
        <v>87.038120000000006</v>
      </c>
      <c r="D1301" s="1">
        <v>42583</v>
      </c>
    </row>
    <row r="1302" spans="1:4" x14ac:dyDescent="0.25">
      <c r="A1302" t="s">
        <v>12</v>
      </c>
      <c r="B1302" t="s">
        <v>10</v>
      </c>
      <c r="C1302">
        <v>85.635999999999996</v>
      </c>
      <c r="D1302" s="1">
        <v>42614</v>
      </c>
    </row>
    <row r="1303" spans="1:4" x14ac:dyDescent="0.25">
      <c r="A1303" t="s">
        <v>12</v>
      </c>
      <c r="B1303" t="s">
        <v>10</v>
      </c>
      <c r="C1303">
        <v>83.771169999999998</v>
      </c>
      <c r="D1303" s="1">
        <v>42644</v>
      </c>
    </row>
    <row r="1304" spans="1:4" x14ac:dyDescent="0.25">
      <c r="A1304" t="s">
        <v>12</v>
      </c>
      <c r="B1304" t="s">
        <v>10</v>
      </c>
      <c r="C1304">
        <v>82.512919999999994</v>
      </c>
      <c r="D1304" s="1">
        <v>42675</v>
      </c>
    </row>
    <row r="1305" spans="1:4" x14ac:dyDescent="0.25">
      <c r="A1305" t="s">
        <v>12</v>
      </c>
      <c r="B1305" t="s">
        <v>10</v>
      </c>
      <c r="C1305">
        <v>84.168570000000003</v>
      </c>
      <c r="D1305" s="1">
        <v>42705</v>
      </c>
    </row>
    <row r="1306" spans="1:4" x14ac:dyDescent="0.25">
      <c r="A1306" t="s">
        <v>12</v>
      </c>
      <c r="B1306" t="s">
        <v>10</v>
      </c>
      <c r="C1306">
        <v>76.674040000000005</v>
      </c>
      <c r="D1306" s="1">
        <v>42736</v>
      </c>
    </row>
    <row r="1307" spans="1:4" x14ac:dyDescent="0.25">
      <c r="A1307" t="s">
        <v>12</v>
      </c>
      <c r="B1307" t="s">
        <v>10</v>
      </c>
      <c r="C1307">
        <v>73.835369999999998</v>
      </c>
      <c r="D1307" s="1">
        <v>42767</v>
      </c>
    </row>
    <row r="1308" spans="1:4" x14ac:dyDescent="0.25">
      <c r="A1308" t="s">
        <v>12</v>
      </c>
      <c r="B1308" t="s">
        <v>10</v>
      </c>
      <c r="C1308">
        <v>85.659090000000006</v>
      </c>
      <c r="D1308" s="1">
        <v>42795</v>
      </c>
    </row>
    <row r="1309" spans="1:4" x14ac:dyDescent="0.25">
      <c r="A1309" t="s">
        <v>12</v>
      </c>
      <c r="B1309" t="s">
        <v>10</v>
      </c>
      <c r="C1309">
        <v>80.868200000000002</v>
      </c>
      <c r="D1309" s="1">
        <v>42826</v>
      </c>
    </row>
    <row r="1310" spans="1:4" x14ac:dyDescent="0.25">
      <c r="A1310" t="s">
        <v>12</v>
      </c>
      <c r="B1310" t="s">
        <v>10</v>
      </c>
      <c r="C1310">
        <v>87.779480000000007</v>
      </c>
      <c r="D1310" s="1">
        <v>42856</v>
      </c>
    </row>
    <row r="1311" spans="1:4" x14ac:dyDescent="0.25">
      <c r="A1311" t="s">
        <v>12</v>
      </c>
      <c r="B1311" t="s">
        <v>10</v>
      </c>
      <c r="C1311">
        <v>87.268159999999995</v>
      </c>
      <c r="D1311" s="1">
        <v>42887</v>
      </c>
    </row>
    <row r="1312" spans="1:4" x14ac:dyDescent="0.25">
      <c r="A1312" t="s">
        <v>12</v>
      </c>
      <c r="B1312" t="s">
        <v>10</v>
      </c>
      <c r="C1312">
        <v>87.44511</v>
      </c>
      <c r="D1312" s="1">
        <v>42917</v>
      </c>
    </row>
    <row r="1313" spans="1:4" x14ac:dyDescent="0.25">
      <c r="A1313" t="s">
        <v>12</v>
      </c>
      <c r="B1313" t="s">
        <v>10</v>
      </c>
      <c r="C1313">
        <v>92.82826</v>
      </c>
      <c r="D1313" s="1">
        <v>42948</v>
      </c>
    </row>
    <row r="1314" spans="1:4" x14ac:dyDescent="0.25">
      <c r="A1314" t="s">
        <v>12</v>
      </c>
      <c r="B1314" t="s">
        <v>10</v>
      </c>
      <c r="C1314">
        <v>87.999660000000006</v>
      </c>
      <c r="D1314" s="1">
        <v>42979</v>
      </c>
    </row>
    <row r="1315" spans="1:4" x14ac:dyDescent="0.25">
      <c r="A1315" t="s">
        <v>12</v>
      </c>
      <c r="B1315" t="s">
        <v>10</v>
      </c>
      <c r="C1315">
        <v>90.786249999999995</v>
      </c>
      <c r="D1315" s="1">
        <v>43009</v>
      </c>
    </row>
    <row r="1316" spans="1:4" x14ac:dyDescent="0.25">
      <c r="A1316" t="s">
        <v>12</v>
      </c>
      <c r="B1316" t="s">
        <v>10</v>
      </c>
      <c r="C1316">
        <v>89.729370000000003</v>
      </c>
      <c r="D1316" s="1">
        <v>43040</v>
      </c>
    </row>
    <row r="1317" spans="1:4" x14ac:dyDescent="0.25">
      <c r="A1317" t="s">
        <v>12</v>
      </c>
      <c r="B1317" t="s">
        <v>10</v>
      </c>
      <c r="C1317">
        <v>90.660899999999998</v>
      </c>
      <c r="D1317" s="1">
        <v>43070</v>
      </c>
    </row>
    <row r="1318" spans="1:4" x14ac:dyDescent="0.25">
      <c r="A1318" t="s">
        <v>12</v>
      </c>
      <c r="B1318" t="s">
        <v>10</v>
      </c>
      <c r="C1318">
        <v>81.546779999999998</v>
      </c>
      <c r="D1318" s="1">
        <v>43101</v>
      </c>
    </row>
    <row r="1319" spans="1:4" x14ac:dyDescent="0.25">
      <c r="A1319" t="s">
        <v>12</v>
      </c>
      <c r="B1319" t="s">
        <v>10</v>
      </c>
      <c r="C1319">
        <v>74.66686</v>
      </c>
      <c r="D1319" s="1">
        <v>43132</v>
      </c>
    </row>
    <row r="1320" spans="1:4" x14ac:dyDescent="0.25">
      <c r="A1320" t="s">
        <v>12</v>
      </c>
      <c r="B1320" t="s">
        <v>10</v>
      </c>
      <c r="C1320">
        <v>84.302000000000007</v>
      </c>
      <c r="D1320" s="1">
        <v>43160</v>
      </c>
    </row>
    <row r="1321" spans="1:4" x14ac:dyDescent="0.25">
      <c r="A1321" t="s">
        <v>12</v>
      </c>
      <c r="B1321" t="s">
        <v>10</v>
      </c>
      <c r="C1321">
        <v>83.746449999999996</v>
      </c>
      <c r="D1321" s="1">
        <v>43191</v>
      </c>
    </row>
    <row r="1322" spans="1:4" x14ac:dyDescent="0.25">
      <c r="A1322" t="s">
        <v>12</v>
      </c>
      <c r="B1322" t="s">
        <v>10</v>
      </c>
      <c r="C1322">
        <v>83.253699999999995</v>
      </c>
      <c r="D1322" s="1">
        <v>43221</v>
      </c>
    </row>
    <row r="1323" spans="1:4" x14ac:dyDescent="0.25">
      <c r="A1323" t="s">
        <v>12</v>
      </c>
      <c r="B1323" t="s">
        <v>10</v>
      </c>
      <c r="C1323">
        <v>92.842290000000006</v>
      </c>
      <c r="D1323" s="1">
        <v>43252</v>
      </c>
    </row>
    <row r="1324" spans="1:4" x14ac:dyDescent="0.25">
      <c r="A1324" t="s">
        <v>12</v>
      </c>
      <c r="B1324" t="s">
        <v>10</v>
      </c>
      <c r="C1324">
        <v>89.729339999999993</v>
      </c>
      <c r="D1324" s="1">
        <v>43282</v>
      </c>
    </row>
    <row r="1325" spans="1:4" x14ac:dyDescent="0.25">
      <c r="A1325" t="s">
        <v>12</v>
      </c>
      <c r="B1325" t="s">
        <v>10</v>
      </c>
      <c r="C1325">
        <v>94.494389999999996</v>
      </c>
      <c r="D1325" s="1">
        <v>43313</v>
      </c>
    </row>
    <row r="1326" spans="1:4" x14ac:dyDescent="0.25">
      <c r="A1326" t="s">
        <v>12</v>
      </c>
      <c r="B1326" t="s">
        <v>10</v>
      </c>
      <c r="C1326">
        <v>89.461010000000002</v>
      </c>
      <c r="D1326" s="1">
        <v>43344</v>
      </c>
    </row>
    <row r="1327" spans="1:4" x14ac:dyDescent="0.25">
      <c r="A1327" t="s">
        <v>12</v>
      </c>
      <c r="B1327" t="s">
        <v>10</v>
      </c>
      <c r="C1327">
        <v>92.061369999999997</v>
      </c>
      <c r="D1327" s="1">
        <v>43374</v>
      </c>
    </row>
    <row r="1328" spans="1:4" x14ac:dyDescent="0.25">
      <c r="A1328" t="s">
        <v>12</v>
      </c>
      <c r="B1328" t="s">
        <v>10</v>
      </c>
      <c r="C1328">
        <v>90.123260000000002</v>
      </c>
      <c r="D1328" s="1">
        <v>43405</v>
      </c>
    </row>
    <row r="1329" spans="1:4" x14ac:dyDescent="0.25">
      <c r="A1329" t="s">
        <v>12</v>
      </c>
      <c r="B1329" t="s">
        <v>10</v>
      </c>
      <c r="C1329">
        <v>87.716740000000001</v>
      </c>
      <c r="D1329" s="1">
        <v>43435</v>
      </c>
    </row>
    <row r="1330" spans="1:4" x14ac:dyDescent="0.25">
      <c r="A1330" t="s">
        <v>12</v>
      </c>
      <c r="B1330" t="s">
        <v>10</v>
      </c>
      <c r="C1330">
        <v>81.082080000000005</v>
      </c>
      <c r="D1330" s="1">
        <v>43466</v>
      </c>
    </row>
    <row r="1331" spans="1:4" x14ac:dyDescent="0.25">
      <c r="A1331" t="s">
        <v>12</v>
      </c>
      <c r="B1331" t="s">
        <v>10</v>
      </c>
      <c r="C1331">
        <v>74.608249999999998</v>
      </c>
      <c r="D1331" s="1">
        <v>43497</v>
      </c>
    </row>
    <row r="1332" spans="1:4" x14ac:dyDescent="0.25">
      <c r="A1332" t="s">
        <v>12</v>
      </c>
      <c r="B1332" t="s">
        <v>10</v>
      </c>
      <c r="C1332">
        <v>77.64085</v>
      </c>
      <c r="D1332" s="1">
        <v>43525</v>
      </c>
    </row>
    <row r="1333" spans="1:4" x14ac:dyDescent="0.25">
      <c r="A1333" t="s">
        <v>12</v>
      </c>
      <c r="B1333" t="s">
        <v>10</v>
      </c>
      <c r="C1333">
        <v>79.262010000000004</v>
      </c>
      <c r="D1333" s="1">
        <v>43556</v>
      </c>
    </row>
    <row r="1334" spans="1:4" x14ac:dyDescent="0.25">
      <c r="A1334" t="s">
        <v>12</v>
      </c>
      <c r="B1334" t="s">
        <v>10</v>
      </c>
      <c r="C1334">
        <v>86.926180000000002</v>
      </c>
      <c r="D1334" s="1">
        <v>43586</v>
      </c>
    </row>
    <row r="1335" spans="1:4" x14ac:dyDescent="0.25">
      <c r="A1335" t="s">
        <v>12</v>
      </c>
      <c r="B1335" t="s">
        <v>10</v>
      </c>
      <c r="C1335">
        <v>79.878119999999996</v>
      </c>
      <c r="D1335" s="1">
        <v>43617</v>
      </c>
    </row>
    <row r="1336" spans="1:4" x14ac:dyDescent="0.25">
      <c r="A1336" t="s">
        <v>12</v>
      </c>
      <c r="B1336" t="s">
        <v>10</v>
      </c>
      <c r="C1336">
        <v>86.49776</v>
      </c>
      <c r="D1336" s="1">
        <v>43647</v>
      </c>
    </row>
    <row r="1337" spans="1:4" x14ac:dyDescent="0.25">
      <c r="A1337" t="s">
        <v>12</v>
      </c>
      <c r="B1337" t="s">
        <v>10</v>
      </c>
      <c r="C1337">
        <v>85.535560000000004</v>
      </c>
      <c r="D1337" s="1">
        <v>43678</v>
      </c>
    </row>
    <row r="1338" spans="1:4" x14ac:dyDescent="0.25">
      <c r="A1338" t="s">
        <v>12</v>
      </c>
      <c r="B1338" t="s">
        <v>10</v>
      </c>
      <c r="C1338">
        <v>88.55874</v>
      </c>
      <c r="D1338" s="1">
        <v>43709</v>
      </c>
    </row>
    <row r="1339" spans="1:4" x14ac:dyDescent="0.25">
      <c r="A1339" t="s">
        <v>12</v>
      </c>
      <c r="B1339" t="s">
        <v>10</v>
      </c>
      <c r="C1339">
        <v>92.331440000000001</v>
      </c>
      <c r="D1339" s="1">
        <v>43739</v>
      </c>
    </row>
    <row r="1340" spans="1:4" x14ac:dyDescent="0.25">
      <c r="A1340" t="s">
        <v>12</v>
      </c>
      <c r="B1340" t="s">
        <v>10</v>
      </c>
      <c r="C1340">
        <v>86.958780000000004</v>
      </c>
      <c r="D1340" s="1">
        <v>43770</v>
      </c>
    </row>
    <row r="1341" spans="1:4" x14ac:dyDescent="0.25">
      <c r="A1341" t="s">
        <v>12</v>
      </c>
      <c r="B1341" t="s">
        <v>10</v>
      </c>
      <c r="C1341">
        <v>88.014750000000006</v>
      </c>
      <c r="D1341" s="1">
        <v>43800</v>
      </c>
    </row>
    <row r="1342" spans="1:4" x14ac:dyDescent="0.25">
      <c r="A1342" t="s">
        <v>12</v>
      </c>
      <c r="B1342" t="s">
        <v>10</v>
      </c>
      <c r="C1342">
        <v>81.365660000000005</v>
      </c>
      <c r="D1342" s="1">
        <v>43831</v>
      </c>
    </row>
    <row r="1343" spans="1:4" x14ac:dyDescent="0.25">
      <c r="A1343" t="s">
        <v>12</v>
      </c>
      <c r="B1343" t="s">
        <v>10</v>
      </c>
      <c r="C1343">
        <v>76.150469999999999</v>
      </c>
      <c r="D1343" s="1">
        <v>43862</v>
      </c>
    </row>
    <row r="1344" spans="1:4" x14ac:dyDescent="0.25">
      <c r="A1344" t="s">
        <v>12</v>
      </c>
      <c r="B1344" t="s">
        <v>10</v>
      </c>
      <c r="C1344">
        <v>79.056269999999998</v>
      </c>
      <c r="D1344" s="1">
        <v>43891</v>
      </c>
    </row>
    <row r="1345" spans="1:4" x14ac:dyDescent="0.25">
      <c r="A1345" t="s">
        <v>12</v>
      </c>
      <c r="B1345" t="s">
        <v>10</v>
      </c>
      <c r="C1345">
        <v>60.855170000000001</v>
      </c>
      <c r="D1345" s="1">
        <v>43922</v>
      </c>
    </row>
    <row r="1346" spans="1:4" x14ac:dyDescent="0.25">
      <c r="A1346" t="s">
        <v>12</v>
      </c>
      <c r="B1346" t="s">
        <v>10</v>
      </c>
      <c r="C1346">
        <v>65.825590000000005</v>
      </c>
      <c r="D1346" s="1">
        <v>43952</v>
      </c>
    </row>
    <row r="1347" spans="1:4" x14ac:dyDescent="0.25">
      <c r="A1347" t="s">
        <v>12</v>
      </c>
      <c r="B1347" t="s">
        <v>10</v>
      </c>
      <c r="C1347">
        <v>70.180539999999993</v>
      </c>
      <c r="D1347" s="1">
        <v>43983</v>
      </c>
    </row>
    <row r="1348" spans="1:4" x14ac:dyDescent="0.25">
      <c r="A1348" t="s">
        <v>12</v>
      </c>
      <c r="B1348" t="s">
        <v>10</v>
      </c>
      <c r="C1348">
        <v>74.806799999999996</v>
      </c>
      <c r="D1348" s="1">
        <v>44013</v>
      </c>
    </row>
    <row r="1349" spans="1:4" x14ac:dyDescent="0.25">
      <c r="A1349" t="s">
        <v>12</v>
      </c>
      <c r="B1349" t="s">
        <v>10</v>
      </c>
      <c r="C1349">
        <v>77.115729999999999</v>
      </c>
      <c r="D1349" s="1">
        <v>44044</v>
      </c>
    </row>
    <row r="1350" spans="1:4" x14ac:dyDescent="0.25">
      <c r="A1350" t="s">
        <v>12</v>
      </c>
      <c r="B1350" t="s">
        <v>10</v>
      </c>
      <c r="C1350">
        <v>80.3887</v>
      </c>
      <c r="D1350" s="1">
        <v>44075</v>
      </c>
    </row>
    <row r="1351" spans="1:4" x14ac:dyDescent="0.25">
      <c r="A1351" t="s">
        <v>12</v>
      </c>
      <c r="B1351" t="s">
        <v>10</v>
      </c>
      <c r="C1351">
        <v>81.274839999999998</v>
      </c>
      <c r="D1351" s="1">
        <v>44105</v>
      </c>
    </row>
    <row r="1352" spans="1:4" x14ac:dyDescent="0.25">
      <c r="A1352" t="s">
        <v>12</v>
      </c>
      <c r="B1352" t="s">
        <v>10</v>
      </c>
      <c r="C1352">
        <v>82.398679999999999</v>
      </c>
      <c r="D1352" s="1">
        <v>44136</v>
      </c>
    </row>
    <row r="1353" spans="1:4" x14ac:dyDescent="0.25">
      <c r="A1353" t="s">
        <v>12</v>
      </c>
      <c r="B1353" t="s">
        <v>10</v>
      </c>
      <c r="C1353">
        <v>84.032070000000004</v>
      </c>
      <c r="D1353" s="1">
        <v>44166</v>
      </c>
    </row>
    <row r="1354" spans="1:4" x14ac:dyDescent="0.25">
      <c r="A1354" t="s">
        <v>12</v>
      </c>
      <c r="B1354" t="s">
        <v>10</v>
      </c>
      <c r="C1354">
        <v>75.697159999999997</v>
      </c>
      <c r="D1354" s="1">
        <v>44197</v>
      </c>
    </row>
    <row r="1355" spans="1:4" x14ac:dyDescent="0.25">
      <c r="A1355" t="s">
        <v>12</v>
      </c>
      <c r="B1355" t="s">
        <v>10</v>
      </c>
      <c r="C1355">
        <v>74.633390000000006</v>
      </c>
      <c r="D1355" s="1">
        <v>44228</v>
      </c>
    </row>
    <row r="1356" spans="1:4" x14ac:dyDescent="0.25">
      <c r="A1356" t="s">
        <v>12</v>
      </c>
      <c r="B1356" t="s">
        <v>10</v>
      </c>
      <c r="C1356">
        <v>81.752219999999994</v>
      </c>
      <c r="D1356" s="1">
        <v>44256</v>
      </c>
    </row>
    <row r="1357" spans="1:4" x14ac:dyDescent="0.25">
      <c r="A1357" t="s">
        <v>12</v>
      </c>
      <c r="B1357" t="s">
        <v>10</v>
      </c>
      <c r="C1357">
        <v>78.540809999999993</v>
      </c>
      <c r="D1357" s="1">
        <v>44287</v>
      </c>
    </row>
    <row r="1358" spans="1:4" x14ac:dyDescent="0.25">
      <c r="A1358" t="s">
        <v>12</v>
      </c>
      <c r="B1358" t="s">
        <v>10</v>
      </c>
      <c r="C1358">
        <v>86.877949999999998</v>
      </c>
      <c r="D1358" s="1">
        <v>44317</v>
      </c>
    </row>
    <row r="1359" spans="1:4" x14ac:dyDescent="0.25">
      <c r="A1359" t="s">
        <v>12</v>
      </c>
      <c r="B1359" t="s">
        <v>10</v>
      </c>
      <c r="C1359">
        <v>87.81362</v>
      </c>
      <c r="D1359" s="1">
        <v>44348</v>
      </c>
    </row>
    <row r="1360" spans="1:4" x14ac:dyDescent="0.25">
      <c r="A1360" t="s">
        <v>12</v>
      </c>
      <c r="B1360" t="s">
        <v>10</v>
      </c>
      <c r="C1360">
        <v>87.461820000000003</v>
      </c>
      <c r="D1360" s="1">
        <v>44378</v>
      </c>
    </row>
    <row r="1361" spans="1:4" x14ac:dyDescent="0.25">
      <c r="A1361" t="s">
        <v>12</v>
      </c>
      <c r="B1361" t="s">
        <v>10</v>
      </c>
      <c r="C1361">
        <v>92.107389999999995</v>
      </c>
      <c r="D1361" s="1">
        <v>44409</v>
      </c>
    </row>
    <row r="1362" spans="1:4" x14ac:dyDescent="0.25">
      <c r="A1362" t="s">
        <v>12</v>
      </c>
      <c r="B1362" t="s">
        <v>10</v>
      </c>
      <c r="C1362">
        <v>88.386070000000004</v>
      </c>
      <c r="D1362" s="1">
        <v>44440</v>
      </c>
    </row>
    <row r="1363" spans="1:4" x14ac:dyDescent="0.25">
      <c r="A1363" t="s">
        <v>12</v>
      </c>
      <c r="B1363" t="s">
        <v>10</v>
      </c>
      <c r="C1363">
        <v>88.611329999999995</v>
      </c>
      <c r="D1363" s="1">
        <v>44470</v>
      </c>
    </row>
    <row r="1364" spans="1:4" x14ac:dyDescent="0.25">
      <c r="A1364" t="s">
        <v>12</v>
      </c>
      <c r="B1364" t="s">
        <v>10</v>
      </c>
      <c r="C1364">
        <v>91.522679999999994</v>
      </c>
      <c r="D1364" s="1">
        <v>44501</v>
      </c>
    </row>
    <row r="1365" spans="1:4" x14ac:dyDescent="0.25">
      <c r="A1365" t="s">
        <v>12</v>
      </c>
      <c r="B1365" t="s">
        <v>10</v>
      </c>
      <c r="C1365">
        <v>98.357730000000004</v>
      </c>
      <c r="D1365" s="1">
        <v>44531</v>
      </c>
    </row>
    <row r="1366" spans="1:4" x14ac:dyDescent="0.25">
      <c r="A1366" t="s">
        <v>12</v>
      </c>
      <c r="B1366" t="s">
        <v>10</v>
      </c>
      <c r="C1366">
        <v>90.383359999999996</v>
      </c>
      <c r="D1366" s="1">
        <v>44562</v>
      </c>
    </row>
    <row r="1367" spans="1:4" x14ac:dyDescent="0.25">
      <c r="A1367" t="s">
        <v>12</v>
      </c>
      <c r="B1367" t="s">
        <v>10</v>
      </c>
      <c r="C1367">
        <v>86.553910000000002</v>
      </c>
      <c r="D1367" s="1">
        <v>44593</v>
      </c>
    </row>
    <row r="1368" spans="1:4" x14ac:dyDescent="0.25">
      <c r="A1368" t="s">
        <v>12</v>
      </c>
      <c r="B1368" t="s">
        <v>10</v>
      </c>
      <c r="C1368">
        <v>100.23121</v>
      </c>
      <c r="D1368" s="1">
        <v>44621</v>
      </c>
    </row>
    <row r="1369" spans="1:4" x14ac:dyDescent="0.25">
      <c r="A1369" t="s">
        <v>12</v>
      </c>
      <c r="B1369" t="s">
        <v>10</v>
      </c>
      <c r="C1369">
        <v>92.408360000000002</v>
      </c>
      <c r="D1369" s="1">
        <v>44652</v>
      </c>
    </row>
    <row r="1370" spans="1:4" x14ac:dyDescent="0.25">
      <c r="A1370" t="s">
        <v>12</v>
      </c>
      <c r="B1370" t="s">
        <v>10</v>
      </c>
      <c r="C1370">
        <v>98.835700000000003</v>
      </c>
      <c r="D1370" s="1">
        <v>44682</v>
      </c>
    </row>
    <row r="1371" spans="1:4" x14ac:dyDescent="0.25">
      <c r="A1371" t="s">
        <v>12</v>
      </c>
      <c r="B1371" t="s">
        <v>10</v>
      </c>
      <c r="C1371">
        <v>98.584410000000005</v>
      </c>
      <c r="D1371" s="1">
        <v>44713</v>
      </c>
    </row>
    <row r="1372" spans="1:4" x14ac:dyDescent="0.25">
      <c r="A1372" t="s">
        <v>12</v>
      </c>
      <c r="B1372" t="s">
        <v>10</v>
      </c>
      <c r="C1372">
        <v>103.47065000000001</v>
      </c>
      <c r="D1372" s="1">
        <v>44743</v>
      </c>
    </row>
    <row r="1373" spans="1:4" x14ac:dyDescent="0.25">
      <c r="A1373" t="s">
        <v>12</v>
      </c>
      <c r="B1373" t="s">
        <v>10</v>
      </c>
      <c r="C1373">
        <v>109.82080999999999</v>
      </c>
      <c r="D1373" s="1">
        <v>44774</v>
      </c>
    </row>
    <row r="1374" spans="1:4" x14ac:dyDescent="0.25">
      <c r="A1374" t="s">
        <v>12</v>
      </c>
      <c r="B1374" t="s">
        <v>10</v>
      </c>
      <c r="C1374">
        <v>105.99217</v>
      </c>
      <c r="D1374" s="1">
        <v>44805</v>
      </c>
    </row>
    <row r="1375" spans="1:4" x14ac:dyDescent="0.25">
      <c r="A1375" t="s">
        <v>12</v>
      </c>
      <c r="B1375" t="s">
        <v>10</v>
      </c>
      <c r="C1375">
        <v>103.36602999999999</v>
      </c>
      <c r="D1375" s="1">
        <v>44835</v>
      </c>
    </row>
    <row r="1376" spans="1:4" x14ac:dyDescent="0.25">
      <c r="A1376" t="s">
        <v>12</v>
      </c>
      <c r="B1376" t="s">
        <v>10</v>
      </c>
      <c r="C1376">
        <v>103.4284</v>
      </c>
      <c r="D1376" s="1">
        <v>44866</v>
      </c>
    </row>
    <row r="1377" spans="1:4" x14ac:dyDescent="0.25">
      <c r="A1377" t="s">
        <v>12</v>
      </c>
      <c r="B1377" t="s">
        <v>10</v>
      </c>
      <c r="C1377">
        <v>106.92498999999999</v>
      </c>
      <c r="D1377" s="1">
        <v>44896</v>
      </c>
    </row>
    <row r="1378" spans="1:4" x14ac:dyDescent="0.25">
      <c r="A1378" t="s">
        <v>12</v>
      </c>
      <c r="B1378" t="s">
        <v>10</v>
      </c>
      <c r="C1378">
        <v>89.313100000000006</v>
      </c>
      <c r="D1378" s="1">
        <v>44927</v>
      </c>
    </row>
    <row r="1379" spans="1:4" x14ac:dyDescent="0.25">
      <c r="A1379" t="s">
        <v>12</v>
      </c>
      <c r="B1379" t="s">
        <v>10</v>
      </c>
      <c r="C1379">
        <v>87.622720000000001</v>
      </c>
      <c r="D1379" s="1">
        <v>44958</v>
      </c>
    </row>
    <row r="1380" spans="1:4" x14ac:dyDescent="0.25">
      <c r="A1380" t="s">
        <v>12</v>
      </c>
      <c r="B1380" t="s">
        <v>10</v>
      </c>
      <c r="C1380">
        <v>103.76802000000001</v>
      </c>
      <c r="D1380" s="1">
        <v>44986</v>
      </c>
    </row>
    <row r="1381" spans="1:4" x14ac:dyDescent="0.25">
      <c r="A1381" t="s">
        <v>12</v>
      </c>
      <c r="B1381" t="s">
        <v>10</v>
      </c>
      <c r="C1381">
        <v>91.145049999999998</v>
      </c>
      <c r="D1381" s="1">
        <v>45017</v>
      </c>
    </row>
    <row r="1382" spans="1:4" x14ac:dyDescent="0.25">
      <c r="A1382" t="s">
        <v>12</v>
      </c>
      <c r="B1382" t="s">
        <v>10</v>
      </c>
      <c r="C1382">
        <v>99.884060000000005</v>
      </c>
      <c r="D1382" s="1">
        <v>45047</v>
      </c>
    </row>
    <row r="1383" spans="1:4" x14ac:dyDescent="0.25">
      <c r="A1383" t="s">
        <v>12</v>
      </c>
      <c r="B1383" t="s">
        <v>10</v>
      </c>
      <c r="C1383">
        <v>93.730410000000006</v>
      </c>
      <c r="D1383" s="1">
        <v>45078</v>
      </c>
    </row>
    <row r="1384" spans="1:4" x14ac:dyDescent="0.25">
      <c r="A1384" t="s">
        <v>12</v>
      </c>
      <c r="B1384" t="s">
        <v>10</v>
      </c>
      <c r="C1384">
        <v>93.904030000000006</v>
      </c>
      <c r="D1384" s="1">
        <v>45108</v>
      </c>
    </row>
    <row r="1385" spans="1:4" x14ac:dyDescent="0.25">
      <c r="A1385" t="s">
        <v>12</v>
      </c>
      <c r="B1385" t="s">
        <v>10</v>
      </c>
      <c r="C1385">
        <v>94.891260000000003</v>
      </c>
      <c r="D1385" s="1">
        <v>45139</v>
      </c>
    </row>
    <row r="1386" spans="1:4" x14ac:dyDescent="0.25">
      <c r="A1386" t="s">
        <v>12</v>
      </c>
      <c r="B1386" t="s">
        <v>10</v>
      </c>
      <c r="C1386">
        <v>91.615480000000005</v>
      </c>
      <c r="D1386" s="1">
        <v>45170</v>
      </c>
    </row>
    <row r="1387" spans="1:4" x14ac:dyDescent="0.25">
      <c r="A1387" t="s">
        <v>12</v>
      </c>
      <c r="B1387" t="s">
        <v>10</v>
      </c>
      <c r="C1387">
        <v>90.367919999999998</v>
      </c>
      <c r="D1387" s="1">
        <v>45200</v>
      </c>
    </row>
    <row r="1388" spans="1:4" x14ac:dyDescent="0.25">
      <c r="A1388" t="s">
        <v>12</v>
      </c>
      <c r="B1388" t="s">
        <v>10</v>
      </c>
      <c r="C1388">
        <v>89.92259</v>
      </c>
      <c r="D1388" s="1">
        <v>45231</v>
      </c>
    </row>
    <row r="1389" spans="1:4" x14ac:dyDescent="0.25">
      <c r="A1389" t="s">
        <v>12</v>
      </c>
      <c r="B1389" t="s">
        <v>10</v>
      </c>
      <c r="C1389">
        <v>90.863150000000005</v>
      </c>
      <c r="D1389" s="1">
        <v>45261</v>
      </c>
    </row>
    <row r="1390" spans="1:4" x14ac:dyDescent="0.25">
      <c r="A1390" t="s">
        <v>12</v>
      </c>
      <c r="B1390" t="s">
        <v>10</v>
      </c>
      <c r="C1390">
        <v>89.563900000000004</v>
      </c>
      <c r="D1390" s="1">
        <v>45292</v>
      </c>
    </row>
    <row r="1391" spans="1:4" x14ac:dyDescent="0.25">
      <c r="A1391" t="s">
        <v>12</v>
      </c>
      <c r="B1391" t="s">
        <v>10</v>
      </c>
      <c r="C1391">
        <v>82.650580000000005</v>
      </c>
      <c r="D1391" s="1">
        <v>45323</v>
      </c>
    </row>
    <row r="1392" spans="1:4" x14ac:dyDescent="0.25">
      <c r="A1392" t="s">
        <v>12</v>
      </c>
      <c r="B1392" t="s">
        <v>10</v>
      </c>
      <c r="C1392">
        <v>87.936430000000001</v>
      </c>
      <c r="D1392" s="1">
        <v>45352</v>
      </c>
    </row>
    <row r="1393" spans="1:4" x14ac:dyDescent="0.25">
      <c r="A1393" t="s">
        <v>12</v>
      </c>
      <c r="B1393" t="s">
        <v>10</v>
      </c>
      <c r="C1393">
        <v>90.265339999999995</v>
      </c>
      <c r="D1393" s="1">
        <v>45383</v>
      </c>
    </row>
    <row r="1394" spans="1:4" x14ac:dyDescent="0.25">
      <c r="A1394" t="s">
        <v>12</v>
      </c>
      <c r="B1394" t="s">
        <v>10</v>
      </c>
      <c r="C1394">
        <v>89.553629999999998</v>
      </c>
      <c r="D1394" s="1">
        <v>45413</v>
      </c>
    </row>
    <row r="1395" spans="1:4" x14ac:dyDescent="0.25">
      <c r="A1395" t="s">
        <v>12</v>
      </c>
      <c r="B1395" t="s">
        <v>10</v>
      </c>
      <c r="C1395">
        <v>91.314279999999997</v>
      </c>
      <c r="D1395" s="1">
        <v>45444</v>
      </c>
    </row>
    <row r="1396" spans="1:4" x14ac:dyDescent="0.25">
      <c r="A1396" t="s">
        <v>12</v>
      </c>
      <c r="B1396" t="s">
        <v>10</v>
      </c>
      <c r="C1396">
        <v>93.357280000000003</v>
      </c>
      <c r="D1396" s="1">
        <v>45474</v>
      </c>
    </row>
    <row r="1397" spans="1:4" x14ac:dyDescent="0.25">
      <c r="A1397" t="s">
        <v>12</v>
      </c>
      <c r="B1397" t="s">
        <v>10</v>
      </c>
      <c r="C1397">
        <v>94.911680000000004</v>
      </c>
      <c r="D1397" s="1">
        <v>45505</v>
      </c>
    </row>
    <row r="1398" spans="1:4" x14ac:dyDescent="0.25">
      <c r="A1398" t="s">
        <v>12</v>
      </c>
      <c r="B1398" t="s">
        <v>10</v>
      </c>
      <c r="C1398">
        <v>92.098029999999994</v>
      </c>
      <c r="D1398" s="1">
        <v>45536</v>
      </c>
    </row>
    <row r="1399" spans="1:4" x14ac:dyDescent="0.25">
      <c r="A1399" t="s">
        <v>12</v>
      </c>
      <c r="B1399" t="s">
        <v>10</v>
      </c>
      <c r="C1399">
        <v>99.624859999999998</v>
      </c>
      <c r="D1399" s="1">
        <v>45566</v>
      </c>
    </row>
    <row r="1400" spans="1:4" x14ac:dyDescent="0.25">
      <c r="A1400" t="s">
        <v>12</v>
      </c>
      <c r="B1400" t="s">
        <v>10</v>
      </c>
      <c r="C1400">
        <v>92.470330000000004</v>
      </c>
      <c r="D1400" s="1">
        <v>45597</v>
      </c>
    </row>
    <row r="1401" spans="1:4" x14ac:dyDescent="0.25">
      <c r="A1401" t="s">
        <v>12</v>
      </c>
      <c r="B1401" t="s">
        <v>10</v>
      </c>
      <c r="C1401">
        <v>93.889279999999999</v>
      </c>
      <c r="D1401" s="1">
        <v>45627</v>
      </c>
    </row>
    <row r="1402" spans="1:4" x14ac:dyDescent="0.25">
      <c r="A1402" t="s">
        <v>12</v>
      </c>
      <c r="B1402" t="s">
        <v>10</v>
      </c>
      <c r="C1402">
        <v>87.695359999999994</v>
      </c>
      <c r="D1402" s="1">
        <v>45658</v>
      </c>
    </row>
    <row r="1403" spans="1:4" x14ac:dyDescent="0.25">
      <c r="A1403" t="s">
        <v>12</v>
      </c>
      <c r="B1403" t="s">
        <v>10</v>
      </c>
      <c r="C1403">
        <v>82.51558</v>
      </c>
      <c r="D1403" s="1">
        <v>45689</v>
      </c>
    </row>
    <row r="1404" spans="1:4" x14ac:dyDescent="0.25">
      <c r="A1404" t="s">
        <v>12</v>
      </c>
      <c r="B1404" t="s">
        <v>10</v>
      </c>
      <c r="C1404">
        <v>85.498159999999999</v>
      </c>
      <c r="D1404" s="1">
        <v>45717</v>
      </c>
    </row>
    <row r="1405" spans="1:4" x14ac:dyDescent="0.25">
      <c r="A1405" t="s">
        <v>12</v>
      </c>
      <c r="B1405" t="s">
        <v>10</v>
      </c>
      <c r="C1405">
        <v>88.462469999999996</v>
      </c>
      <c r="D1405" s="1">
        <v>45748</v>
      </c>
    </row>
    <row r="1406" spans="1:4" x14ac:dyDescent="0.25">
      <c r="A1406" t="s">
        <v>12</v>
      </c>
      <c r="B1406" t="s">
        <v>10</v>
      </c>
      <c r="C1406">
        <v>93.801959999999994</v>
      </c>
      <c r="D1406" s="1">
        <v>45778</v>
      </c>
    </row>
    <row r="1407" spans="1:4" x14ac:dyDescent="0.25">
      <c r="A1407" t="s">
        <v>12</v>
      </c>
      <c r="B1407" t="s">
        <v>10</v>
      </c>
      <c r="C1407">
        <v>93.63091</v>
      </c>
      <c r="D1407" s="1">
        <v>45809</v>
      </c>
    </row>
    <row r="1408" spans="1:4" x14ac:dyDescent="0.25">
      <c r="A1408" t="s">
        <v>12</v>
      </c>
      <c r="B1408" t="s">
        <v>10</v>
      </c>
      <c r="C1408">
        <v>98.420429999999996</v>
      </c>
      <c r="D1408" s="1">
        <v>45839</v>
      </c>
    </row>
    <row r="1409" spans="1:4" x14ac:dyDescent="0.25">
      <c r="A1409" t="s">
        <v>12</v>
      </c>
      <c r="B1409" t="s">
        <v>10</v>
      </c>
      <c r="C1409">
        <v>96.330960000000005</v>
      </c>
      <c r="D1409" s="1">
        <v>45870</v>
      </c>
    </row>
    <row r="1410" spans="1:4" x14ac:dyDescent="0.25">
      <c r="A1410" t="s">
        <v>12</v>
      </c>
      <c r="B1410" t="s">
        <v>9</v>
      </c>
      <c r="C1410">
        <v>100.2371</v>
      </c>
      <c r="D1410" s="1">
        <v>40544</v>
      </c>
    </row>
    <row r="1411" spans="1:4" x14ac:dyDescent="0.25">
      <c r="A1411" t="s">
        <v>12</v>
      </c>
      <c r="B1411" t="s">
        <v>9</v>
      </c>
      <c r="C1411">
        <v>100.18253</v>
      </c>
      <c r="D1411" s="1">
        <v>40575</v>
      </c>
    </row>
    <row r="1412" spans="1:4" x14ac:dyDescent="0.25">
      <c r="A1412" t="s">
        <v>12</v>
      </c>
      <c r="B1412" t="s">
        <v>9</v>
      </c>
      <c r="C1412">
        <v>102.07671000000001</v>
      </c>
      <c r="D1412" s="1">
        <v>40603</v>
      </c>
    </row>
    <row r="1413" spans="1:4" x14ac:dyDescent="0.25">
      <c r="A1413" t="s">
        <v>12</v>
      </c>
      <c r="B1413" t="s">
        <v>9</v>
      </c>
      <c r="C1413">
        <v>105.1336</v>
      </c>
      <c r="D1413" s="1">
        <v>40634</v>
      </c>
    </row>
    <row r="1414" spans="1:4" x14ac:dyDescent="0.25">
      <c r="A1414" t="s">
        <v>12</v>
      </c>
      <c r="B1414" t="s">
        <v>9</v>
      </c>
      <c r="C1414">
        <v>107.51837999999999</v>
      </c>
      <c r="D1414" s="1">
        <v>40664</v>
      </c>
    </row>
    <row r="1415" spans="1:4" x14ac:dyDescent="0.25">
      <c r="A1415" t="s">
        <v>12</v>
      </c>
      <c r="B1415" t="s">
        <v>9</v>
      </c>
      <c r="C1415">
        <v>104.59078</v>
      </c>
      <c r="D1415" s="1">
        <v>40695</v>
      </c>
    </row>
    <row r="1416" spans="1:4" x14ac:dyDescent="0.25">
      <c r="A1416" t="s">
        <v>12</v>
      </c>
      <c r="B1416" t="s">
        <v>9</v>
      </c>
      <c r="C1416">
        <v>105.97848</v>
      </c>
      <c r="D1416" s="1">
        <v>40725</v>
      </c>
    </row>
    <row r="1417" spans="1:4" x14ac:dyDescent="0.25">
      <c r="A1417" t="s">
        <v>12</v>
      </c>
      <c r="B1417" t="s">
        <v>9</v>
      </c>
      <c r="C1417">
        <v>109.96011</v>
      </c>
      <c r="D1417" s="1">
        <v>40756</v>
      </c>
    </row>
    <row r="1418" spans="1:4" x14ac:dyDescent="0.25">
      <c r="A1418" t="s">
        <v>12</v>
      </c>
      <c r="B1418" t="s">
        <v>9</v>
      </c>
      <c r="C1418">
        <v>106.31347</v>
      </c>
      <c r="D1418" s="1">
        <v>40787</v>
      </c>
    </row>
    <row r="1419" spans="1:4" x14ac:dyDescent="0.25">
      <c r="A1419" t="s">
        <v>12</v>
      </c>
      <c r="B1419" t="s">
        <v>9</v>
      </c>
      <c r="C1419">
        <v>106.76595</v>
      </c>
      <c r="D1419" s="1">
        <v>40817</v>
      </c>
    </row>
    <row r="1420" spans="1:4" x14ac:dyDescent="0.25">
      <c r="A1420" t="s">
        <v>12</v>
      </c>
      <c r="B1420" t="s">
        <v>9</v>
      </c>
      <c r="C1420">
        <v>114.32514</v>
      </c>
      <c r="D1420" s="1">
        <v>40848</v>
      </c>
    </row>
    <row r="1421" spans="1:4" x14ac:dyDescent="0.25">
      <c r="A1421" t="s">
        <v>12</v>
      </c>
      <c r="B1421" t="s">
        <v>9</v>
      </c>
      <c r="C1421">
        <v>122.52719</v>
      </c>
      <c r="D1421" s="1">
        <v>40878</v>
      </c>
    </row>
    <row r="1422" spans="1:4" x14ac:dyDescent="0.25">
      <c r="A1422" t="s">
        <v>12</v>
      </c>
      <c r="B1422" t="s">
        <v>9</v>
      </c>
      <c r="C1422">
        <v>107.40846999999999</v>
      </c>
      <c r="D1422" s="1">
        <v>40909</v>
      </c>
    </row>
    <row r="1423" spans="1:4" x14ac:dyDescent="0.25">
      <c r="A1423" t="s">
        <v>12</v>
      </c>
      <c r="B1423" t="s">
        <v>9</v>
      </c>
      <c r="C1423">
        <v>103.31067</v>
      </c>
      <c r="D1423" s="1">
        <v>40940</v>
      </c>
    </row>
    <row r="1424" spans="1:4" x14ac:dyDescent="0.25">
      <c r="A1424" t="s">
        <v>12</v>
      </c>
      <c r="B1424" t="s">
        <v>9</v>
      </c>
      <c r="C1424">
        <v>109.14321</v>
      </c>
      <c r="D1424" s="1">
        <v>40969</v>
      </c>
    </row>
    <row r="1425" spans="1:4" x14ac:dyDescent="0.25">
      <c r="A1425" t="s">
        <v>12</v>
      </c>
      <c r="B1425" t="s">
        <v>9</v>
      </c>
      <c r="C1425">
        <v>108.13535</v>
      </c>
      <c r="D1425" s="1">
        <v>41000</v>
      </c>
    </row>
    <row r="1426" spans="1:4" x14ac:dyDescent="0.25">
      <c r="A1426" t="s">
        <v>12</v>
      </c>
      <c r="B1426" t="s">
        <v>9</v>
      </c>
      <c r="C1426">
        <v>110.77567000000001</v>
      </c>
      <c r="D1426" s="1">
        <v>41030</v>
      </c>
    </row>
    <row r="1427" spans="1:4" x14ac:dyDescent="0.25">
      <c r="A1427" t="s">
        <v>12</v>
      </c>
      <c r="B1427" t="s">
        <v>9</v>
      </c>
      <c r="C1427">
        <v>109.16727</v>
      </c>
      <c r="D1427" s="1">
        <v>41061</v>
      </c>
    </row>
    <row r="1428" spans="1:4" x14ac:dyDescent="0.25">
      <c r="A1428" t="s">
        <v>12</v>
      </c>
      <c r="B1428" t="s">
        <v>9</v>
      </c>
      <c r="C1428">
        <v>112.92558</v>
      </c>
      <c r="D1428" s="1">
        <v>41091</v>
      </c>
    </row>
    <row r="1429" spans="1:4" x14ac:dyDescent="0.25">
      <c r="A1429" t="s">
        <v>12</v>
      </c>
      <c r="B1429" t="s">
        <v>9</v>
      </c>
      <c r="C1429">
        <v>108.41276000000001</v>
      </c>
      <c r="D1429" s="1">
        <v>41122</v>
      </c>
    </row>
    <row r="1430" spans="1:4" x14ac:dyDescent="0.25">
      <c r="A1430" t="s">
        <v>12</v>
      </c>
      <c r="B1430" t="s">
        <v>9</v>
      </c>
      <c r="C1430">
        <v>106.27497</v>
      </c>
      <c r="D1430" s="1">
        <v>41153</v>
      </c>
    </row>
    <row r="1431" spans="1:4" x14ac:dyDescent="0.25">
      <c r="A1431" t="s">
        <v>12</v>
      </c>
      <c r="B1431" t="s">
        <v>9</v>
      </c>
      <c r="C1431">
        <v>113.31802</v>
      </c>
      <c r="D1431" s="1">
        <v>41183</v>
      </c>
    </row>
    <row r="1432" spans="1:4" x14ac:dyDescent="0.25">
      <c r="A1432" t="s">
        <v>12</v>
      </c>
      <c r="B1432" t="s">
        <v>9</v>
      </c>
      <c r="C1432">
        <v>113.54907</v>
      </c>
      <c r="D1432" s="1">
        <v>41214</v>
      </c>
    </row>
    <row r="1433" spans="1:4" x14ac:dyDescent="0.25">
      <c r="A1433" t="s">
        <v>12</v>
      </c>
      <c r="B1433" t="s">
        <v>9</v>
      </c>
      <c r="C1433">
        <v>125.54719</v>
      </c>
      <c r="D1433" s="1">
        <v>41244</v>
      </c>
    </row>
    <row r="1434" spans="1:4" x14ac:dyDescent="0.25">
      <c r="A1434" t="s">
        <v>12</v>
      </c>
      <c r="B1434" t="s">
        <v>9</v>
      </c>
      <c r="C1434">
        <v>109.70937000000001</v>
      </c>
      <c r="D1434" s="1">
        <v>41275</v>
      </c>
    </row>
    <row r="1435" spans="1:4" x14ac:dyDescent="0.25">
      <c r="A1435" t="s">
        <v>12</v>
      </c>
      <c r="B1435" t="s">
        <v>9</v>
      </c>
      <c r="C1435">
        <v>103.31059999999999</v>
      </c>
      <c r="D1435" s="1">
        <v>41306</v>
      </c>
    </row>
    <row r="1436" spans="1:4" x14ac:dyDescent="0.25">
      <c r="A1436" t="s">
        <v>12</v>
      </c>
      <c r="B1436" t="s">
        <v>9</v>
      </c>
      <c r="C1436">
        <v>106.56596999999999</v>
      </c>
      <c r="D1436" s="1">
        <v>41334</v>
      </c>
    </row>
    <row r="1437" spans="1:4" x14ac:dyDescent="0.25">
      <c r="A1437" t="s">
        <v>12</v>
      </c>
      <c r="B1437" t="s">
        <v>9</v>
      </c>
      <c r="C1437">
        <v>111.91269</v>
      </c>
      <c r="D1437" s="1">
        <v>41365</v>
      </c>
    </row>
    <row r="1438" spans="1:4" x14ac:dyDescent="0.25">
      <c r="A1438" t="s">
        <v>12</v>
      </c>
      <c r="B1438" t="s">
        <v>9</v>
      </c>
      <c r="C1438">
        <v>110.12339</v>
      </c>
      <c r="D1438" s="1">
        <v>41395</v>
      </c>
    </row>
    <row r="1439" spans="1:4" x14ac:dyDescent="0.25">
      <c r="A1439" t="s">
        <v>12</v>
      </c>
      <c r="B1439" t="s">
        <v>9</v>
      </c>
      <c r="C1439">
        <v>108.9496</v>
      </c>
      <c r="D1439" s="1">
        <v>41426</v>
      </c>
    </row>
    <row r="1440" spans="1:4" x14ac:dyDescent="0.25">
      <c r="A1440" t="s">
        <v>12</v>
      </c>
      <c r="B1440" t="s">
        <v>9</v>
      </c>
      <c r="C1440">
        <v>113.84273</v>
      </c>
      <c r="D1440" s="1">
        <v>41456</v>
      </c>
    </row>
    <row r="1441" spans="1:4" x14ac:dyDescent="0.25">
      <c r="A1441" t="s">
        <v>12</v>
      </c>
      <c r="B1441" t="s">
        <v>9</v>
      </c>
      <c r="C1441">
        <v>110.81520999999999</v>
      </c>
      <c r="D1441" s="1">
        <v>41487</v>
      </c>
    </row>
    <row r="1442" spans="1:4" x14ac:dyDescent="0.25">
      <c r="A1442" t="s">
        <v>12</v>
      </c>
      <c r="B1442" t="s">
        <v>9</v>
      </c>
      <c r="C1442">
        <v>110.42402</v>
      </c>
      <c r="D1442" s="1">
        <v>41518</v>
      </c>
    </row>
    <row r="1443" spans="1:4" x14ac:dyDescent="0.25">
      <c r="A1443" t="s">
        <v>12</v>
      </c>
      <c r="B1443" t="s">
        <v>9</v>
      </c>
      <c r="C1443">
        <v>114.12143</v>
      </c>
      <c r="D1443" s="1">
        <v>41548</v>
      </c>
    </row>
    <row r="1444" spans="1:4" x14ac:dyDescent="0.25">
      <c r="A1444" t="s">
        <v>12</v>
      </c>
      <c r="B1444" t="s">
        <v>9</v>
      </c>
      <c r="C1444">
        <v>118.37894</v>
      </c>
      <c r="D1444" s="1">
        <v>41579</v>
      </c>
    </row>
    <row r="1445" spans="1:4" x14ac:dyDescent="0.25">
      <c r="A1445" t="s">
        <v>12</v>
      </c>
      <c r="B1445" t="s">
        <v>9</v>
      </c>
      <c r="C1445">
        <v>124.82702999999999</v>
      </c>
      <c r="D1445" s="1">
        <v>41609</v>
      </c>
    </row>
    <row r="1446" spans="1:4" x14ac:dyDescent="0.25">
      <c r="A1446" t="s">
        <v>12</v>
      </c>
      <c r="B1446" t="s">
        <v>9</v>
      </c>
      <c r="C1446">
        <v>115.90289</v>
      </c>
      <c r="D1446" s="1">
        <v>41640</v>
      </c>
    </row>
    <row r="1447" spans="1:4" x14ac:dyDescent="0.25">
      <c r="A1447" t="s">
        <v>12</v>
      </c>
      <c r="B1447" t="s">
        <v>9</v>
      </c>
      <c r="C1447">
        <v>105.14068</v>
      </c>
      <c r="D1447" s="1">
        <v>41671</v>
      </c>
    </row>
    <row r="1448" spans="1:4" x14ac:dyDescent="0.25">
      <c r="A1448" t="s">
        <v>12</v>
      </c>
      <c r="B1448" t="s">
        <v>9</v>
      </c>
      <c r="C1448">
        <v>108.39524</v>
      </c>
      <c r="D1448" s="1">
        <v>41699</v>
      </c>
    </row>
    <row r="1449" spans="1:4" x14ac:dyDescent="0.25">
      <c r="A1449" t="s">
        <v>12</v>
      </c>
      <c r="B1449" t="s">
        <v>9</v>
      </c>
      <c r="C1449">
        <v>110.44676</v>
      </c>
      <c r="D1449" s="1">
        <v>41730</v>
      </c>
    </row>
    <row r="1450" spans="1:4" x14ac:dyDescent="0.25">
      <c r="A1450" t="s">
        <v>12</v>
      </c>
      <c r="B1450" t="s">
        <v>9</v>
      </c>
      <c r="C1450">
        <v>112.31323999999999</v>
      </c>
      <c r="D1450" s="1">
        <v>41760</v>
      </c>
    </row>
    <row r="1451" spans="1:4" x14ac:dyDescent="0.25">
      <c r="A1451" t="s">
        <v>12</v>
      </c>
      <c r="B1451" t="s">
        <v>9</v>
      </c>
      <c r="C1451">
        <v>108.06383</v>
      </c>
      <c r="D1451" s="1">
        <v>41791</v>
      </c>
    </row>
    <row r="1452" spans="1:4" x14ac:dyDescent="0.25">
      <c r="A1452" t="s">
        <v>12</v>
      </c>
      <c r="B1452" t="s">
        <v>9</v>
      </c>
      <c r="C1452">
        <v>112.89013</v>
      </c>
      <c r="D1452" s="1">
        <v>41821</v>
      </c>
    </row>
    <row r="1453" spans="1:4" x14ac:dyDescent="0.25">
      <c r="A1453" t="s">
        <v>12</v>
      </c>
      <c r="B1453" t="s">
        <v>9</v>
      </c>
      <c r="C1453">
        <v>109.95343</v>
      </c>
      <c r="D1453" s="1">
        <v>41852</v>
      </c>
    </row>
    <row r="1454" spans="1:4" x14ac:dyDescent="0.25">
      <c r="A1454" t="s">
        <v>12</v>
      </c>
      <c r="B1454" t="s">
        <v>9</v>
      </c>
      <c r="C1454">
        <v>116.53166</v>
      </c>
      <c r="D1454" s="1">
        <v>41883</v>
      </c>
    </row>
    <row r="1455" spans="1:4" x14ac:dyDescent="0.25">
      <c r="A1455" t="s">
        <v>12</v>
      </c>
      <c r="B1455" t="s">
        <v>9</v>
      </c>
      <c r="C1455">
        <v>119.31353</v>
      </c>
      <c r="D1455" s="1">
        <v>41913</v>
      </c>
    </row>
    <row r="1456" spans="1:4" x14ac:dyDescent="0.25">
      <c r="A1456" t="s">
        <v>12</v>
      </c>
      <c r="B1456" t="s">
        <v>9</v>
      </c>
      <c r="C1456">
        <v>117.10787000000001</v>
      </c>
      <c r="D1456" s="1">
        <v>41944</v>
      </c>
    </row>
    <row r="1457" spans="1:4" x14ac:dyDescent="0.25">
      <c r="A1457" t="s">
        <v>12</v>
      </c>
      <c r="B1457" t="s">
        <v>9</v>
      </c>
      <c r="C1457">
        <v>132.89111</v>
      </c>
      <c r="D1457" s="1">
        <v>41974</v>
      </c>
    </row>
    <row r="1458" spans="1:4" x14ac:dyDescent="0.25">
      <c r="A1458" t="s">
        <v>12</v>
      </c>
      <c r="B1458" t="s">
        <v>9</v>
      </c>
      <c r="C1458">
        <v>113.97405999999999</v>
      </c>
      <c r="D1458" s="1">
        <v>42005</v>
      </c>
    </row>
    <row r="1459" spans="1:4" x14ac:dyDescent="0.25">
      <c r="A1459" t="s">
        <v>12</v>
      </c>
      <c r="B1459" t="s">
        <v>9</v>
      </c>
      <c r="C1459">
        <v>104.33298000000001</v>
      </c>
      <c r="D1459" s="1">
        <v>42036</v>
      </c>
    </row>
    <row r="1460" spans="1:4" x14ac:dyDescent="0.25">
      <c r="A1460" t="s">
        <v>12</v>
      </c>
      <c r="B1460" t="s">
        <v>9</v>
      </c>
      <c r="C1460">
        <v>116.03348</v>
      </c>
      <c r="D1460" s="1">
        <v>42064</v>
      </c>
    </row>
    <row r="1461" spans="1:4" x14ac:dyDescent="0.25">
      <c r="A1461" t="s">
        <v>12</v>
      </c>
      <c r="B1461" t="s">
        <v>9</v>
      </c>
      <c r="C1461">
        <v>115.59356</v>
      </c>
      <c r="D1461" s="1">
        <v>42095</v>
      </c>
    </row>
    <row r="1462" spans="1:4" x14ac:dyDescent="0.25">
      <c r="A1462" t="s">
        <v>12</v>
      </c>
      <c r="B1462" t="s">
        <v>9</v>
      </c>
      <c r="C1462">
        <v>114.94674999999999</v>
      </c>
      <c r="D1462" s="1">
        <v>42125</v>
      </c>
    </row>
    <row r="1463" spans="1:4" x14ac:dyDescent="0.25">
      <c r="A1463" t="s">
        <v>12</v>
      </c>
      <c r="B1463" t="s">
        <v>9</v>
      </c>
      <c r="C1463">
        <v>115.40106</v>
      </c>
      <c r="D1463" s="1">
        <v>42156</v>
      </c>
    </row>
    <row r="1464" spans="1:4" x14ac:dyDescent="0.25">
      <c r="A1464" t="s">
        <v>12</v>
      </c>
      <c r="B1464" t="s">
        <v>9</v>
      </c>
      <c r="C1464">
        <v>115.34016</v>
      </c>
      <c r="D1464" s="1">
        <v>42186</v>
      </c>
    </row>
    <row r="1465" spans="1:4" x14ac:dyDescent="0.25">
      <c r="A1465" t="s">
        <v>12</v>
      </c>
      <c r="B1465" t="s">
        <v>9</v>
      </c>
      <c r="C1465">
        <v>108.42182</v>
      </c>
      <c r="D1465" s="1">
        <v>42217</v>
      </c>
    </row>
    <row r="1466" spans="1:4" x14ac:dyDescent="0.25">
      <c r="A1466" t="s">
        <v>12</v>
      </c>
      <c r="B1466" t="s">
        <v>9</v>
      </c>
      <c r="C1466">
        <v>110.16776</v>
      </c>
      <c r="D1466" s="1">
        <v>42248</v>
      </c>
    </row>
    <row r="1467" spans="1:4" x14ac:dyDescent="0.25">
      <c r="A1467" t="s">
        <v>12</v>
      </c>
      <c r="B1467" t="s">
        <v>9</v>
      </c>
      <c r="C1467">
        <v>114.71038</v>
      </c>
      <c r="D1467" s="1">
        <v>42278</v>
      </c>
    </row>
    <row r="1468" spans="1:4" x14ac:dyDescent="0.25">
      <c r="A1468" t="s">
        <v>12</v>
      </c>
      <c r="B1468" t="s">
        <v>9</v>
      </c>
      <c r="C1468">
        <v>114.97358</v>
      </c>
      <c r="D1468" s="1">
        <v>42309</v>
      </c>
    </row>
    <row r="1469" spans="1:4" x14ac:dyDescent="0.25">
      <c r="A1469" t="s">
        <v>12</v>
      </c>
      <c r="B1469" t="s">
        <v>9</v>
      </c>
      <c r="C1469">
        <v>124.68794</v>
      </c>
      <c r="D1469" s="1">
        <v>42339</v>
      </c>
    </row>
    <row r="1470" spans="1:4" x14ac:dyDescent="0.25">
      <c r="A1470" t="s">
        <v>12</v>
      </c>
      <c r="B1470" t="s">
        <v>9</v>
      </c>
      <c r="C1470">
        <v>105.61015999999999</v>
      </c>
      <c r="D1470" s="1">
        <v>42370</v>
      </c>
    </row>
    <row r="1471" spans="1:4" x14ac:dyDescent="0.25">
      <c r="A1471" t="s">
        <v>12</v>
      </c>
      <c r="B1471" t="s">
        <v>9</v>
      </c>
      <c r="C1471">
        <v>101.62694</v>
      </c>
      <c r="D1471" s="1">
        <v>42401</v>
      </c>
    </row>
    <row r="1472" spans="1:4" x14ac:dyDescent="0.25">
      <c r="A1472" t="s">
        <v>12</v>
      </c>
      <c r="B1472" t="s">
        <v>9</v>
      </c>
      <c r="C1472">
        <v>108.71850999999999</v>
      </c>
      <c r="D1472" s="1">
        <v>42430</v>
      </c>
    </row>
    <row r="1473" spans="1:4" x14ac:dyDescent="0.25">
      <c r="A1473" t="s">
        <v>12</v>
      </c>
      <c r="B1473" t="s">
        <v>9</v>
      </c>
      <c r="C1473">
        <v>112.48465</v>
      </c>
      <c r="D1473" s="1">
        <v>42461</v>
      </c>
    </row>
    <row r="1474" spans="1:4" x14ac:dyDescent="0.25">
      <c r="A1474" t="s">
        <v>12</v>
      </c>
      <c r="B1474" t="s">
        <v>9</v>
      </c>
      <c r="C1474">
        <v>108.91942</v>
      </c>
      <c r="D1474" s="1">
        <v>42491</v>
      </c>
    </row>
    <row r="1475" spans="1:4" x14ac:dyDescent="0.25">
      <c r="A1475" t="s">
        <v>12</v>
      </c>
      <c r="B1475" t="s">
        <v>9</v>
      </c>
      <c r="C1475">
        <v>112.24771</v>
      </c>
      <c r="D1475" s="1">
        <v>42522</v>
      </c>
    </row>
    <row r="1476" spans="1:4" x14ac:dyDescent="0.25">
      <c r="A1476" t="s">
        <v>12</v>
      </c>
      <c r="B1476" t="s">
        <v>9</v>
      </c>
      <c r="C1476">
        <v>116.66691</v>
      </c>
      <c r="D1476" s="1">
        <v>42552</v>
      </c>
    </row>
    <row r="1477" spans="1:4" x14ac:dyDescent="0.25">
      <c r="A1477" t="s">
        <v>12</v>
      </c>
      <c r="B1477" t="s">
        <v>9</v>
      </c>
      <c r="C1477">
        <v>111.21062999999999</v>
      </c>
      <c r="D1477" s="1">
        <v>42583</v>
      </c>
    </row>
    <row r="1478" spans="1:4" x14ac:dyDescent="0.25">
      <c r="A1478" t="s">
        <v>12</v>
      </c>
      <c r="B1478" t="s">
        <v>9</v>
      </c>
      <c r="C1478">
        <v>111.38824</v>
      </c>
      <c r="D1478" s="1">
        <v>42614</v>
      </c>
    </row>
    <row r="1479" spans="1:4" x14ac:dyDescent="0.25">
      <c r="A1479" t="s">
        <v>12</v>
      </c>
      <c r="B1479" t="s">
        <v>9</v>
      </c>
      <c r="C1479">
        <v>113.78158000000001</v>
      </c>
      <c r="D1479" s="1">
        <v>42644</v>
      </c>
    </row>
    <row r="1480" spans="1:4" x14ac:dyDescent="0.25">
      <c r="A1480" t="s">
        <v>12</v>
      </c>
      <c r="B1480" t="s">
        <v>9</v>
      </c>
      <c r="C1480">
        <v>114.83633</v>
      </c>
      <c r="D1480" s="1">
        <v>42675</v>
      </c>
    </row>
    <row r="1481" spans="1:4" x14ac:dyDescent="0.25">
      <c r="A1481" t="s">
        <v>12</v>
      </c>
      <c r="B1481" t="s">
        <v>9</v>
      </c>
      <c r="C1481">
        <v>125.89606999999999</v>
      </c>
      <c r="D1481" s="1">
        <v>42705</v>
      </c>
    </row>
    <row r="1482" spans="1:4" x14ac:dyDescent="0.25">
      <c r="A1482" t="s">
        <v>12</v>
      </c>
      <c r="B1482" t="s">
        <v>9</v>
      </c>
      <c r="C1482">
        <v>98.447779999999995</v>
      </c>
      <c r="D1482" s="1">
        <v>42736</v>
      </c>
    </row>
    <row r="1483" spans="1:4" x14ac:dyDescent="0.25">
      <c r="A1483" t="s">
        <v>12</v>
      </c>
      <c r="B1483" t="s">
        <v>9</v>
      </c>
      <c r="C1483">
        <v>94.224189999999993</v>
      </c>
      <c r="D1483" s="1">
        <v>42767</v>
      </c>
    </row>
    <row r="1484" spans="1:4" x14ac:dyDescent="0.25">
      <c r="A1484" t="s">
        <v>12</v>
      </c>
      <c r="B1484" t="s">
        <v>9</v>
      </c>
      <c r="C1484">
        <v>103.52311</v>
      </c>
      <c r="D1484" s="1">
        <v>42795</v>
      </c>
    </row>
    <row r="1485" spans="1:4" x14ac:dyDescent="0.25">
      <c r="A1485" t="s">
        <v>12</v>
      </c>
      <c r="B1485" t="s">
        <v>9</v>
      </c>
      <c r="C1485">
        <v>102.85616</v>
      </c>
      <c r="D1485" s="1">
        <v>42826</v>
      </c>
    </row>
    <row r="1486" spans="1:4" x14ac:dyDescent="0.25">
      <c r="A1486" t="s">
        <v>12</v>
      </c>
      <c r="B1486" t="s">
        <v>9</v>
      </c>
      <c r="C1486">
        <v>109.30235</v>
      </c>
      <c r="D1486" s="1">
        <v>42856</v>
      </c>
    </row>
    <row r="1487" spans="1:4" x14ac:dyDescent="0.25">
      <c r="A1487" t="s">
        <v>12</v>
      </c>
      <c r="B1487" t="s">
        <v>9</v>
      </c>
      <c r="C1487">
        <v>107.8749</v>
      </c>
      <c r="D1487" s="1">
        <v>42887</v>
      </c>
    </row>
    <row r="1488" spans="1:4" x14ac:dyDescent="0.25">
      <c r="A1488" t="s">
        <v>12</v>
      </c>
      <c r="B1488" t="s">
        <v>9</v>
      </c>
      <c r="C1488">
        <v>111.14364</v>
      </c>
      <c r="D1488" s="1">
        <v>42917</v>
      </c>
    </row>
    <row r="1489" spans="1:4" x14ac:dyDescent="0.25">
      <c r="A1489" t="s">
        <v>12</v>
      </c>
      <c r="B1489" t="s">
        <v>9</v>
      </c>
      <c r="C1489">
        <v>108.8202</v>
      </c>
      <c r="D1489" s="1">
        <v>42948</v>
      </c>
    </row>
    <row r="1490" spans="1:4" x14ac:dyDescent="0.25">
      <c r="A1490" t="s">
        <v>12</v>
      </c>
      <c r="B1490" t="s">
        <v>9</v>
      </c>
      <c r="C1490">
        <v>107.62304</v>
      </c>
      <c r="D1490" s="1">
        <v>42979</v>
      </c>
    </row>
    <row r="1491" spans="1:4" x14ac:dyDescent="0.25">
      <c r="A1491" t="s">
        <v>12</v>
      </c>
      <c r="B1491" t="s">
        <v>9</v>
      </c>
      <c r="C1491">
        <v>110.21795</v>
      </c>
      <c r="D1491" s="1">
        <v>43009</v>
      </c>
    </row>
    <row r="1492" spans="1:4" x14ac:dyDescent="0.25">
      <c r="A1492" t="s">
        <v>12</v>
      </c>
      <c r="B1492" t="s">
        <v>9</v>
      </c>
      <c r="C1492">
        <v>110.24713</v>
      </c>
      <c r="D1492" s="1">
        <v>43040</v>
      </c>
    </row>
    <row r="1493" spans="1:4" x14ac:dyDescent="0.25">
      <c r="A1493" t="s">
        <v>12</v>
      </c>
      <c r="B1493" t="s">
        <v>9</v>
      </c>
      <c r="C1493">
        <v>124.46791</v>
      </c>
      <c r="D1493" s="1">
        <v>43070</v>
      </c>
    </row>
    <row r="1494" spans="1:4" x14ac:dyDescent="0.25">
      <c r="A1494" t="s">
        <v>12</v>
      </c>
      <c r="B1494" t="s">
        <v>9</v>
      </c>
      <c r="C1494">
        <v>98.992660000000001</v>
      </c>
      <c r="D1494" s="1">
        <v>43101</v>
      </c>
    </row>
    <row r="1495" spans="1:4" x14ac:dyDescent="0.25">
      <c r="A1495" t="s">
        <v>12</v>
      </c>
      <c r="B1495" t="s">
        <v>9</v>
      </c>
      <c r="C1495">
        <v>96.413889999999995</v>
      </c>
      <c r="D1495" s="1">
        <v>43132</v>
      </c>
    </row>
    <row r="1496" spans="1:4" x14ac:dyDescent="0.25">
      <c r="A1496" t="s">
        <v>12</v>
      </c>
      <c r="B1496" t="s">
        <v>9</v>
      </c>
      <c r="C1496">
        <v>103.46578</v>
      </c>
      <c r="D1496" s="1">
        <v>43160</v>
      </c>
    </row>
    <row r="1497" spans="1:4" x14ac:dyDescent="0.25">
      <c r="A1497" t="s">
        <v>12</v>
      </c>
      <c r="B1497" t="s">
        <v>9</v>
      </c>
      <c r="C1497">
        <v>108.60746</v>
      </c>
      <c r="D1497" s="1">
        <v>43191</v>
      </c>
    </row>
    <row r="1498" spans="1:4" x14ac:dyDescent="0.25">
      <c r="A1498" t="s">
        <v>12</v>
      </c>
      <c r="B1498" t="s">
        <v>9</v>
      </c>
      <c r="C1498">
        <v>108.55028</v>
      </c>
      <c r="D1498" s="1">
        <v>43221</v>
      </c>
    </row>
    <row r="1499" spans="1:4" x14ac:dyDescent="0.25">
      <c r="A1499" t="s">
        <v>12</v>
      </c>
      <c r="B1499" t="s">
        <v>9</v>
      </c>
      <c r="C1499">
        <v>106.18734000000001</v>
      </c>
      <c r="D1499" s="1">
        <v>43252</v>
      </c>
    </row>
    <row r="1500" spans="1:4" x14ac:dyDescent="0.25">
      <c r="A1500" t="s">
        <v>12</v>
      </c>
      <c r="B1500" t="s">
        <v>9</v>
      </c>
      <c r="C1500">
        <v>109.67899</v>
      </c>
      <c r="D1500" s="1">
        <v>43282</v>
      </c>
    </row>
    <row r="1501" spans="1:4" x14ac:dyDescent="0.25">
      <c r="A1501" t="s">
        <v>12</v>
      </c>
      <c r="B1501" t="s">
        <v>9</v>
      </c>
      <c r="C1501">
        <v>112.37733</v>
      </c>
      <c r="D1501" s="1">
        <v>43313</v>
      </c>
    </row>
    <row r="1502" spans="1:4" x14ac:dyDescent="0.25">
      <c r="A1502" t="s">
        <v>12</v>
      </c>
      <c r="B1502" t="s">
        <v>9</v>
      </c>
      <c r="C1502">
        <v>106.94492</v>
      </c>
      <c r="D1502" s="1">
        <v>43344</v>
      </c>
    </row>
    <row r="1503" spans="1:4" x14ac:dyDescent="0.25">
      <c r="A1503" t="s">
        <v>12</v>
      </c>
      <c r="B1503" t="s">
        <v>9</v>
      </c>
      <c r="C1503">
        <v>112.4679</v>
      </c>
      <c r="D1503" s="1">
        <v>43374</v>
      </c>
    </row>
    <row r="1504" spans="1:4" x14ac:dyDescent="0.25">
      <c r="A1504" t="s">
        <v>12</v>
      </c>
      <c r="B1504" t="s">
        <v>9</v>
      </c>
      <c r="C1504">
        <v>114.20858</v>
      </c>
      <c r="D1504" s="1">
        <v>43405</v>
      </c>
    </row>
    <row r="1505" spans="1:4" x14ac:dyDescent="0.25">
      <c r="A1505" t="s">
        <v>12</v>
      </c>
      <c r="B1505" t="s">
        <v>9</v>
      </c>
      <c r="C1505">
        <v>123.16107</v>
      </c>
      <c r="D1505" s="1">
        <v>43435</v>
      </c>
    </row>
    <row r="1506" spans="1:4" x14ac:dyDescent="0.25">
      <c r="A1506" t="s">
        <v>12</v>
      </c>
      <c r="B1506" t="s">
        <v>9</v>
      </c>
      <c r="C1506">
        <v>97.074190000000002</v>
      </c>
      <c r="D1506" s="1">
        <v>43466</v>
      </c>
    </row>
    <row r="1507" spans="1:4" x14ac:dyDescent="0.25">
      <c r="A1507" t="s">
        <v>12</v>
      </c>
      <c r="B1507" t="s">
        <v>9</v>
      </c>
      <c r="C1507">
        <v>97.916179999999997</v>
      </c>
      <c r="D1507" s="1">
        <v>43497</v>
      </c>
    </row>
    <row r="1508" spans="1:4" x14ac:dyDescent="0.25">
      <c r="A1508" t="s">
        <v>12</v>
      </c>
      <c r="B1508" t="s">
        <v>9</v>
      </c>
      <c r="C1508">
        <v>102.53971</v>
      </c>
      <c r="D1508" s="1">
        <v>43525</v>
      </c>
    </row>
    <row r="1509" spans="1:4" x14ac:dyDescent="0.25">
      <c r="A1509" t="s">
        <v>12</v>
      </c>
      <c r="B1509" t="s">
        <v>9</v>
      </c>
      <c r="C1509">
        <v>106.33384</v>
      </c>
      <c r="D1509" s="1">
        <v>43556</v>
      </c>
    </row>
    <row r="1510" spans="1:4" x14ac:dyDescent="0.25">
      <c r="A1510" t="s">
        <v>12</v>
      </c>
      <c r="B1510" t="s">
        <v>9</v>
      </c>
      <c r="C1510">
        <v>110.68397</v>
      </c>
      <c r="D1510" s="1">
        <v>43586</v>
      </c>
    </row>
    <row r="1511" spans="1:4" x14ac:dyDescent="0.25">
      <c r="A1511" t="s">
        <v>12</v>
      </c>
      <c r="B1511" t="s">
        <v>9</v>
      </c>
      <c r="C1511">
        <v>105.98827</v>
      </c>
      <c r="D1511" s="1">
        <v>43617</v>
      </c>
    </row>
    <row r="1512" spans="1:4" x14ac:dyDescent="0.25">
      <c r="A1512" t="s">
        <v>12</v>
      </c>
      <c r="B1512" t="s">
        <v>9</v>
      </c>
      <c r="C1512">
        <v>110.78194000000001</v>
      </c>
      <c r="D1512" s="1">
        <v>43647</v>
      </c>
    </row>
    <row r="1513" spans="1:4" x14ac:dyDescent="0.25">
      <c r="A1513" t="s">
        <v>12</v>
      </c>
      <c r="B1513" t="s">
        <v>9</v>
      </c>
      <c r="C1513">
        <v>108.22596</v>
      </c>
      <c r="D1513" s="1">
        <v>43678</v>
      </c>
    </row>
    <row r="1514" spans="1:4" x14ac:dyDescent="0.25">
      <c r="A1514" t="s">
        <v>12</v>
      </c>
      <c r="B1514" t="s">
        <v>9</v>
      </c>
      <c r="C1514">
        <v>112.30698</v>
      </c>
      <c r="D1514" s="1">
        <v>43709</v>
      </c>
    </row>
    <row r="1515" spans="1:4" x14ac:dyDescent="0.25">
      <c r="A1515" t="s">
        <v>12</v>
      </c>
      <c r="B1515" t="s">
        <v>9</v>
      </c>
      <c r="C1515">
        <v>114.97557999999999</v>
      </c>
      <c r="D1515" s="1">
        <v>43739</v>
      </c>
    </row>
    <row r="1516" spans="1:4" x14ac:dyDescent="0.25">
      <c r="A1516" t="s">
        <v>12</v>
      </c>
      <c r="B1516" t="s">
        <v>9</v>
      </c>
      <c r="C1516">
        <v>116.36729</v>
      </c>
      <c r="D1516" s="1">
        <v>43770</v>
      </c>
    </row>
    <row r="1517" spans="1:4" x14ac:dyDescent="0.25">
      <c r="A1517" t="s">
        <v>12</v>
      </c>
      <c r="B1517" t="s">
        <v>9</v>
      </c>
      <c r="C1517">
        <v>122.62264</v>
      </c>
      <c r="D1517" s="1">
        <v>43800</v>
      </c>
    </row>
    <row r="1518" spans="1:4" x14ac:dyDescent="0.25">
      <c r="A1518" t="s">
        <v>12</v>
      </c>
      <c r="B1518" t="s">
        <v>9</v>
      </c>
      <c r="C1518">
        <v>97.828689999999995</v>
      </c>
      <c r="D1518" s="1">
        <v>43831</v>
      </c>
    </row>
    <row r="1519" spans="1:4" x14ac:dyDescent="0.25">
      <c r="A1519" t="s">
        <v>12</v>
      </c>
      <c r="B1519" t="s">
        <v>9</v>
      </c>
      <c r="C1519">
        <v>93.274180000000001</v>
      </c>
      <c r="D1519" s="1">
        <v>43862</v>
      </c>
    </row>
    <row r="1520" spans="1:4" x14ac:dyDescent="0.25">
      <c r="A1520" t="s">
        <v>12</v>
      </c>
      <c r="B1520" t="s">
        <v>9</v>
      </c>
      <c r="C1520">
        <v>93.739810000000006</v>
      </c>
      <c r="D1520" s="1">
        <v>43891</v>
      </c>
    </row>
    <row r="1521" spans="1:4" x14ac:dyDescent="0.25">
      <c r="A1521" t="s">
        <v>12</v>
      </c>
      <c r="B1521" t="s">
        <v>9</v>
      </c>
      <c r="C1521">
        <v>82.884219999999999</v>
      </c>
      <c r="D1521" s="1">
        <v>43922</v>
      </c>
    </row>
    <row r="1522" spans="1:4" x14ac:dyDescent="0.25">
      <c r="A1522" t="s">
        <v>12</v>
      </c>
      <c r="B1522" t="s">
        <v>9</v>
      </c>
      <c r="C1522">
        <v>79.200509999999994</v>
      </c>
      <c r="D1522" s="1">
        <v>43952</v>
      </c>
    </row>
    <row r="1523" spans="1:4" x14ac:dyDescent="0.25">
      <c r="A1523" t="s">
        <v>12</v>
      </c>
      <c r="B1523" t="s">
        <v>9</v>
      </c>
      <c r="C1523">
        <v>81.417559999999995</v>
      </c>
      <c r="D1523" s="1">
        <v>43983</v>
      </c>
    </row>
    <row r="1524" spans="1:4" x14ac:dyDescent="0.25">
      <c r="A1524" t="s">
        <v>12</v>
      </c>
      <c r="B1524" t="s">
        <v>9</v>
      </c>
      <c r="C1524">
        <v>85.364450000000005</v>
      </c>
      <c r="D1524" s="1">
        <v>44013</v>
      </c>
    </row>
    <row r="1525" spans="1:4" x14ac:dyDescent="0.25">
      <c r="A1525" t="s">
        <v>12</v>
      </c>
      <c r="B1525" t="s">
        <v>9</v>
      </c>
      <c r="C1525">
        <v>85.005260000000007</v>
      </c>
      <c r="D1525" s="1">
        <v>44044</v>
      </c>
    </row>
    <row r="1526" spans="1:4" x14ac:dyDescent="0.25">
      <c r="A1526" t="s">
        <v>12</v>
      </c>
      <c r="B1526" t="s">
        <v>9</v>
      </c>
      <c r="C1526">
        <v>88.619640000000004</v>
      </c>
      <c r="D1526" s="1">
        <v>44075</v>
      </c>
    </row>
    <row r="1527" spans="1:4" x14ac:dyDescent="0.25">
      <c r="A1527" t="s">
        <v>12</v>
      </c>
      <c r="B1527" t="s">
        <v>9</v>
      </c>
      <c r="C1527">
        <v>92.070350000000005</v>
      </c>
      <c r="D1527" s="1">
        <v>44105</v>
      </c>
    </row>
    <row r="1528" spans="1:4" x14ac:dyDescent="0.25">
      <c r="A1528" t="s">
        <v>12</v>
      </c>
      <c r="B1528" t="s">
        <v>9</v>
      </c>
      <c r="C1528">
        <v>94.386250000000004</v>
      </c>
      <c r="D1528" s="1">
        <v>44136</v>
      </c>
    </row>
    <row r="1529" spans="1:4" x14ac:dyDescent="0.25">
      <c r="A1529" t="s">
        <v>12</v>
      </c>
      <c r="B1529" t="s">
        <v>9</v>
      </c>
      <c r="C1529">
        <v>103.59912</v>
      </c>
      <c r="D1529" s="1">
        <v>44166</v>
      </c>
    </row>
    <row r="1530" spans="1:4" x14ac:dyDescent="0.25">
      <c r="A1530" t="s">
        <v>12</v>
      </c>
      <c r="B1530" t="s">
        <v>9</v>
      </c>
      <c r="C1530">
        <v>83.510019999999997</v>
      </c>
      <c r="D1530" s="1">
        <v>44197</v>
      </c>
    </row>
    <row r="1531" spans="1:4" x14ac:dyDescent="0.25">
      <c r="A1531" t="s">
        <v>12</v>
      </c>
      <c r="B1531" t="s">
        <v>9</v>
      </c>
      <c r="C1531">
        <v>87.147900000000007</v>
      </c>
      <c r="D1531" s="1">
        <v>44228</v>
      </c>
    </row>
    <row r="1532" spans="1:4" x14ac:dyDescent="0.25">
      <c r="A1532" t="s">
        <v>12</v>
      </c>
      <c r="B1532" t="s">
        <v>9</v>
      </c>
      <c r="C1532">
        <v>89.741200000000006</v>
      </c>
      <c r="D1532" s="1">
        <v>44256</v>
      </c>
    </row>
    <row r="1533" spans="1:4" x14ac:dyDescent="0.25">
      <c r="A1533" t="s">
        <v>12</v>
      </c>
      <c r="B1533" t="s">
        <v>9</v>
      </c>
      <c r="C1533">
        <v>88.929479999999998</v>
      </c>
      <c r="D1533" s="1">
        <v>44287</v>
      </c>
    </row>
    <row r="1534" spans="1:4" x14ac:dyDescent="0.25">
      <c r="A1534" t="s">
        <v>12</v>
      </c>
      <c r="B1534" t="s">
        <v>9</v>
      </c>
      <c r="C1534">
        <v>91.41825</v>
      </c>
      <c r="D1534" s="1">
        <v>44317</v>
      </c>
    </row>
    <row r="1535" spans="1:4" x14ac:dyDescent="0.25">
      <c r="A1535" t="s">
        <v>12</v>
      </c>
      <c r="B1535" t="s">
        <v>9</v>
      </c>
      <c r="C1535">
        <v>92.589190000000002</v>
      </c>
      <c r="D1535" s="1">
        <v>44348</v>
      </c>
    </row>
    <row r="1536" spans="1:4" x14ac:dyDescent="0.25">
      <c r="A1536" t="s">
        <v>12</v>
      </c>
      <c r="B1536" t="s">
        <v>9</v>
      </c>
      <c r="C1536">
        <v>95.747550000000004</v>
      </c>
      <c r="D1536" s="1">
        <v>44378</v>
      </c>
    </row>
    <row r="1537" spans="1:4" x14ac:dyDescent="0.25">
      <c r="A1537" t="s">
        <v>12</v>
      </c>
      <c r="B1537" t="s">
        <v>9</v>
      </c>
      <c r="C1537">
        <v>92.843379999999996</v>
      </c>
      <c r="D1537" s="1">
        <v>44409</v>
      </c>
    </row>
    <row r="1538" spans="1:4" x14ac:dyDescent="0.25">
      <c r="A1538" t="s">
        <v>12</v>
      </c>
      <c r="B1538" t="s">
        <v>9</v>
      </c>
      <c r="C1538">
        <v>95.475380000000001</v>
      </c>
      <c r="D1538" s="1">
        <v>44440</v>
      </c>
    </row>
    <row r="1539" spans="1:4" x14ac:dyDescent="0.25">
      <c r="A1539" t="s">
        <v>12</v>
      </c>
      <c r="B1539" t="s">
        <v>9</v>
      </c>
      <c r="C1539">
        <v>93.78586</v>
      </c>
      <c r="D1539" s="1">
        <v>44470</v>
      </c>
    </row>
    <row r="1540" spans="1:4" x14ac:dyDescent="0.25">
      <c r="A1540" t="s">
        <v>12</v>
      </c>
      <c r="B1540" t="s">
        <v>9</v>
      </c>
      <c r="C1540">
        <v>98.751850000000005</v>
      </c>
      <c r="D1540" s="1">
        <v>44501</v>
      </c>
    </row>
    <row r="1541" spans="1:4" x14ac:dyDescent="0.25">
      <c r="A1541" t="s">
        <v>12</v>
      </c>
      <c r="B1541" t="s">
        <v>9</v>
      </c>
      <c r="C1541">
        <v>112.31542</v>
      </c>
      <c r="D1541" s="1">
        <v>44531</v>
      </c>
    </row>
    <row r="1542" spans="1:4" x14ac:dyDescent="0.25">
      <c r="A1542" t="s">
        <v>12</v>
      </c>
      <c r="B1542" t="s">
        <v>9</v>
      </c>
      <c r="C1542">
        <v>91.158270000000002</v>
      </c>
      <c r="D1542" s="1">
        <v>44562</v>
      </c>
    </row>
    <row r="1543" spans="1:4" x14ac:dyDescent="0.25">
      <c r="A1543" t="s">
        <v>12</v>
      </c>
      <c r="B1543" t="s">
        <v>9</v>
      </c>
      <c r="C1543">
        <v>91.085539999999995</v>
      </c>
      <c r="D1543" s="1">
        <v>44593</v>
      </c>
    </row>
    <row r="1544" spans="1:4" x14ac:dyDescent="0.25">
      <c r="A1544" t="s">
        <v>12</v>
      </c>
      <c r="B1544" t="s">
        <v>9</v>
      </c>
      <c r="C1544">
        <v>97.280289999999994</v>
      </c>
      <c r="D1544" s="1">
        <v>44621</v>
      </c>
    </row>
    <row r="1545" spans="1:4" x14ac:dyDescent="0.25">
      <c r="A1545" t="s">
        <v>12</v>
      </c>
      <c r="B1545" t="s">
        <v>9</v>
      </c>
      <c r="C1545">
        <v>96.265919999999994</v>
      </c>
      <c r="D1545" s="1">
        <v>44652</v>
      </c>
    </row>
    <row r="1546" spans="1:4" x14ac:dyDescent="0.25">
      <c r="A1546" t="s">
        <v>12</v>
      </c>
      <c r="B1546" t="s">
        <v>9</v>
      </c>
      <c r="C1546">
        <v>98.484870000000001</v>
      </c>
      <c r="D1546" s="1">
        <v>44682</v>
      </c>
    </row>
    <row r="1547" spans="1:4" x14ac:dyDescent="0.25">
      <c r="A1547" t="s">
        <v>12</v>
      </c>
      <c r="B1547" t="s">
        <v>9</v>
      </c>
      <c r="C1547">
        <v>101.21792000000001</v>
      </c>
      <c r="D1547" s="1">
        <v>44713</v>
      </c>
    </row>
    <row r="1548" spans="1:4" x14ac:dyDescent="0.25">
      <c r="A1548" t="s">
        <v>12</v>
      </c>
      <c r="B1548" t="s">
        <v>9</v>
      </c>
      <c r="C1548">
        <v>99.09348</v>
      </c>
      <c r="D1548" s="1">
        <v>44743</v>
      </c>
    </row>
    <row r="1549" spans="1:4" x14ac:dyDescent="0.25">
      <c r="A1549" t="s">
        <v>12</v>
      </c>
      <c r="B1549" t="s">
        <v>9</v>
      </c>
      <c r="C1549">
        <v>101.43836</v>
      </c>
      <c r="D1549" s="1">
        <v>44774</v>
      </c>
    </row>
    <row r="1550" spans="1:4" x14ac:dyDescent="0.25">
      <c r="A1550" t="s">
        <v>12</v>
      </c>
      <c r="B1550" t="s">
        <v>9</v>
      </c>
      <c r="C1550">
        <v>100.15380999999999</v>
      </c>
      <c r="D1550" s="1">
        <v>44805</v>
      </c>
    </row>
    <row r="1551" spans="1:4" x14ac:dyDescent="0.25">
      <c r="A1551" t="s">
        <v>12</v>
      </c>
      <c r="B1551" t="s">
        <v>9</v>
      </c>
      <c r="C1551">
        <v>100.09807000000001</v>
      </c>
      <c r="D1551" s="1">
        <v>44835</v>
      </c>
    </row>
    <row r="1552" spans="1:4" x14ac:dyDescent="0.25">
      <c r="A1552" t="s">
        <v>12</v>
      </c>
      <c r="B1552" t="s">
        <v>9</v>
      </c>
      <c r="C1552">
        <v>105.24583</v>
      </c>
      <c r="D1552" s="1">
        <v>44866</v>
      </c>
    </row>
    <row r="1553" spans="1:4" x14ac:dyDescent="0.25">
      <c r="A1553" t="s">
        <v>12</v>
      </c>
      <c r="B1553" t="s">
        <v>9</v>
      </c>
      <c r="C1553">
        <v>118.47765</v>
      </c>
      <c r="D1553" s="1">
        <v>44896</v>
      </c>
    </row>
    <row r="1554" spans="1:4" x14ac:dyDescent="0.25">
      <c r="A1554" t="s">
        <v>12</v>
      </c>
      <c r="B1554" t="s">
        <v>9</v>
      </c>
      <c r="C1554">
        <v>93.521559999999994</v>
      </c>
      <c r="D1554" s="1">
        <v>44927</v>
      </c>
    </row>
    <row r="1555" spans="1:4" x14ac:dyDescent="0.25">
      <c r="A1555" t="s">
        <v>12</v>
      </c>
      <c r="B1555" t="s">
        <v>9</v>
      </c>
      <c r="C1555">
        <v>88.694519999999997</v>
      </c>
      <c r="D1555" s="1">
        <v>44958</v>
      </c>
    </row>
    <row r="1556" spans="1:4" x14ac:dyDescent="0.25">
      <c r="A1556" t="s">
        <v>12</v>
      </c>
      <c r="B1556" t="s">
        <v>9</v>
      </c>
      <c r="C1556">
        <v>103.13124000000001</v>
      </c>
      <c r="D1556" s="1">
        <v>44986</v>
      </c>
    </row>
    <row r="1557" spans="1:4" x14ac:dyDescent="0.25">
      <c r="A1557" t="s">
        <v>12</v>
      </c>
      <c r="B1557" t="s">
        <v>9</v>
      </c>
      <c r="C1557">
        <v>98.128919999999994</v>
      </c>
      <c r="D1557" s="1">
        <v>45017</v>
      </c>
    </row>
    <row r="1558" spans="1:4" x14ac:dyDescent="0.25">
      <c r="A1558" t="s">
        <v>12</v>
      </c>
      <c r="B1558" t="s">
        <v>9</v>
      </c>
      <c r="C1558">
        <v>98.628200000000007</v>
      </c>
      <c r="D1558" s="1">
        <v>45047</v>
      </c>
    </row>
    <row r="1559" spans="1:4" x14ac:dyDescent="0.25">
      <c r="A1559" t="s">
        <v>12</v>
      </c>
      <c r="B1559" t="s">
        <v>9</v>
      </c>
      <c r="C1559">
        <v>101.43096</v>
      </c>
      <c r="D1559" s="1">
        <v>45078</v>
      </c>
    </row>
    <row r="1560" spans="1:4" x14ac:dyDescent="0.25">
      <c r="A1560" t="s">
        <v>12</v>
      </c>
      <c r="B1560" t="s">
        <v>9</v>
      </c>
      <c r="C1560">
        <v>100.09884</v>
      </c>
      <c r="D1560" s="1">
        <v>45108</v>
      </c>
    </row>
    <row r="1561" spans="1:4" x14ac:dyDescent="0.25">
      <c r="A1561" t="s">
        <v>12</v>
      </c>
      <c r="B1561" t="s">
        <v>9</v>
      </c>
      <c r="C1561">
        <v>111.82778999999999</v>
      </c>
      <c r="D1561" s="1">
        <v>45139</v>
      </c>
    </row>
    <row r="1562" spans="1:4" x14ac:dyDescent="0.25">
      <c r="A1562" t="s">
        <v>12</v>
      </c>
      <c r="B1562" t="s">
        <v>9</v>
      </c>
      <c r="C1562">
        <v>107.85603</v>
      </c>
      <c r="D1562" s="1">
        <v>45170</v>
      </c>
    </row>
    <row r="1563" spans="1:4" x14ac:dyDescent="0.25">
      <c r="A1563" t="s">
        <v>12</v>
      </c>
      <c r="B1563" t="s">
        <v>9</v>
      </c>
      <c r="C1563">
        <v>113.43781</v>
      </c>
      <c r="D1563" s="1">
        <v>45200</v>
      </c>
    </row>
    <row r="1564" spans="1:4" x14ac:dyDescent="0.25">
      <c r="A1564" t="s">
        <v>12</v>
      </c>
      <c r="B1564" t="s">
        <v>9</v>
      </c>
      <c r="C1564">
        <v>120.34742</v>
      </c>
      <c r="D1564" s="1">
        <v>45231</v>
      </c>
    </row>
    <row r="1565" spans="1:4" x14ac:dyDescent="0.25">
      <c r="A1565" t="s">
        <v>12</v>
      </c>
      <c r="B1565" t="s">
        <v>9</v>
      </c>
      <c r="C1565">
        <v>128.80306999999999</v>
      </c>
      <c r="D1565" s="1">
        <v>45261</v>
      </c>
    </row>
    <row r="1566" spans="1:4" x14ac:dyDescent="0.25">
      <c r="A1566" t="s">
        <v>12</v>
      </c>
      <c r="B1566" t="s">
        <v>9</v>
      </c>
      <c r="C1566">
        <v>107.9526</v>
      </c>
      <c r="D1566" s="1">
        <v>45292</v>
      </c>
    </row>
    <row r="1567" spans="1:4" x14ac:dyDescent="0.25">
      <c r="A1567" t="s">
        <v>12</v>
      </c>
      <c r="B1567" t="s">
        <v>9</v>
      </c>
      <c r="C1567">
        <v>102.67582</v>
      </c>
      <c r="D1567" s="1">
        <v>45323</v>
      </c>
    </row>
    <row r="1568" spans="1:4" x14ac:dyDescent="0.25">
      <c r="A1568" t="s">
        <v>12</v>
      </c>
      <c r="B1568" t="s">
        <v>9</v>
      </c>
      <c r="C1568">
        <v>116.34799</v>
      </c>
      <c r="D1568" s="1">
        <v>45352</v>
      </c>
    </row>
    <row r="1569" spans="1:4" x14ac:dyDescent="0.25">
      <c r="A1569" t="s">
        <v>12</v>
      </c>
      <c r="B1569" t="s">
        <v>9</v>
      </c>
      <c r="C1569">
        <v>114.88209999999999</v>
      </c>
      <c r="D1569" s="1">
        <v>45383</v>
      </c>
    </row>
    <row r="1570" spans="1:4" x14ac:dyDescent="0.25">
      <c r="A1570" t="s">
        <v>12</v>
      </c>
      <c r="B1570" t="s">
        <v>9</v>
      </c>
      <c r="C1570">
        <v>112.75922</v>
      </c>
      <c r="D1570" s="1">
        <v>45413</v>
      </c>
    </row>
    <row r="1571" spans="1:4" x14ac:dyDescent="0.25">
      <c r="A1571" t="s">
        <v>12</v>
      </c>
      <c r="B1571" t="s">
        <v>9</v>
      </c>
      <c r="C1571">
        <v>117.31310000000001</v>
      </c>
      <c r="D1571" s="1">
        <v>45444</v>
      </c>
    </row>
    <row r="1572" spans="1:4" x14ac:dyDescent="0.25">
      <c r="A1572" t="s">
        <v>12</v>
      </c>
      <c r="B1572" t="s">
        <v>9</v>
      </c>
      <c r="C1572">
        <v>117.57801000000001</v>
      </c>
      <c r="D1572" s="1">
        <v>45474</v>
      </c>
    </row>
    <row r="1573" spans="1:4" x14ac:dyDescent="0.25">
      <c r="A1573" t="s">
        <v>12</v>
      </c>
      <c r="B1573" t="s">
        <v>9</v>
      </c>
      <c r="C1573">
        <v>117.68250999999999</v>
      </c>
      <c r="D1573" s="1">
        <v>45505</v>
      </c>
    </row>
    <row r="1574" spans="1:4" x14ac:dyDescent="0.25">
      <c r="A1574" t="s">
        <v>12</v>
      </c>
      <c r="B1574" t="s">
        <v>9</v>
      </c>
      <c r="C1574">
        <v>121.06901000000001</v>
      </c>
      <c r="D1574" s="1">
        <v>45536</v>
      </c>
    </row>
    <row r="1575" spans="1:4" x14ac:dyDescent="0.25">
      <c r="A1575" t="s">
        <v>12</v>
      </c>
      <c r="B1575" t="s">
        <v>9</v>
      </c>
      <c r="C1575">
        <v>127.06708</v>
      </c>
      <c r="D1575" s="1">
        <v>45566</v>
      </c>
    </row>
    <row r="1576" spans="1:4" x14ac:dyDescent="0.25">
      <c r="A1576" t="s">
        <v>12</v>
      </c>
      <c r="B1576" t="s">
        <v>9</v>
      </c>
      <c r="C1576">
        <v>126.79261</v>
      </c>
      <c r="D1576" s="1">
        <v>45597</v>
      </c>
    </row>
    <row r="1577" spans="1:4" x14ac:dyDescent="0.25">
      <c r="A1577" t="s">
        <v>12</v>
      </c>
      <c r="B1577" t="s">
        <v>9</v>
      </c>
      <c r="C1577">
        <v>136.06507999999999</v>
      </c>
      <c r="D1577" s="1">
        <v>45627</v>
      </c>
    </row>
    <row r="1578" spans="1:4" x14ac:dyDescent="0.25">
      <c r="A1578" t="s">
        <v>12</v>
      </c>
      <c r="B1578" t="s">
        <v>9</v>
      </c>
      <c r="C1578">
        <v>113.21109</v>
      </c>
      <c r="D1578" s="1">
        <v>45658</v>
      </c>
    </row>
    <row r="1579" spans="1:4" x14ac:dyDescent="0.25">
      <c r="A1579" t="s">
        <v>12</v>
      </c>
      <c r="B1579" t="s">
        <v>9</v>
      </c>
      <c r="C1579">
        <v>110.44324</v>
      </c>
      <c r="D1579" s="1">
        <v>45689</v>
      </c>
    </row>
    <row r="1580" spans="1:4" x14ac:dyDescent="0.25">
      <c r="A1580" t="s">
        <v>12</v>
      </c>
      <c r="B1580" t="s">
        <v>9</v>
      </c>
      <c r="C1580">
        <v>121.85437</v>
      </c>
      <c r="D1580" s="1">
        <v>45717</v>
      </c>
    </row>
    <row r="1581" spans="1:4" x14ac:dyDescent="0.25">
      <c r="A1581" t="s">
        <v>12</v>
      </c>
      <c r="B1581" t="s">
        <v>9</v>
      </c>
      <c r="C1581">
        <v>119.77043999999999</v>
      </c>
      <c r="D1581" s="1">
        <v>45748</v>
      </c>
    </row>
    <row r="1582" spans="1:4" x14ac:dyDescent="0.25">
      <c r="A1582" t="s">
        <v>12</v>
      </c>
      <c r="B1582" t="s">
        <v>9</v>
      </c>
      <c r="C1582">
        <v>121.09811000000001</v>
      </c>
      <c r="D1582" s="1">
        <v>45778</v>
      </c>
    </row>
    <row r="1583" spans="1:4" x14ac:dyDescent="0.25">
      <c r="A1583" t="s">
        <v>12</v>
      </c>
      <c r="B1583" t="s">
        <v>9</v>
      </c>
      <c r="C1583">
        <v>124.87183</v>
      </c>
      <c r="D1583" s="1">
        <v>45809</v>
      </c>
    </row>
    <row r="1584" spans="1:4" x14ac:dyDescent="0.25">
      <c r="A1584" t="s">
        <v>12</v>
      </c>
      <c r="B1584" t="s">
        <v>9</v>
      </c>
      <c r="C1584">
        <v>126.47145999999999</v>
      </c>
      <c r="D1584" s="1">
        <v>45839</v>
      </c>
    </row>
    <row r="1585" spans="1:4" x14ac:dyDescent="0.25">
      <c r="A1585" t="s">
        <v>12</v>
      </c>
      <c r="B1585" t="s">
        <v>9</v>
      </c>
      <c r="C1585">
        <v>126.62820000000001</v>
      </c>
      <c r="D1585" s="1">
        <v>45870</v>
      </c>
    </row>
    <row r="1586" spans="1:4" x14ac:dyDescent="0.25">
      <c r="A1586" t="s">
        <v>12</v>
      </c>
      <c r="B1586" t="s">
        <v>8</v>
      </c>
      <c r="C1586">
        <v>54.354689999999998</v>
      </c>
      <c r="D1586" s="1">
        <v>40544</v>
      </c>
    </row>
    <row r="1587" spans="1:4" x14ac:dyDescent="0.25">
      <c r="A1587" t="s">
        <v>12</v>
      </c>
      <c r="B1587" t="s">
        <v>8</v>
      </c>
      <c r="C1587">
        <v>53.885449999999999</v>
      </c>
      <c r="D1587" s="1">
        <v>40575</v>
      </c>
    </row>
    <row r="1588" spans="1:4" x14ac:dyDescent="0.25">
      <c r="A1588" t="s">
        <v>12</v>
      </c>
      <c r="B1588" t="s">
        <v>8</v>
      </c>
      <c r="C1588">
        <v>58.540959999999998</v>
      </c>
      <c r="D1588" s="1">
        <v>40603</v>
      </c>
    </row>
    <row r="1589" spans="1:4" x14ac:dyDescent="0.25">
      <c r="A1589" t="s">
        <v>12</v>
      </c>
      <c r="B1589" t="s">
        <v>8</v>
      </c>
      <c r="C1589">
        <v>57.139429999999997</v>
      </c>
      <c r="D1589" s="1">
        <v>40634</v>
      </c>
    </row>
    <row r="1590" spans="1:4" x14ac:dyDescent="0.25">
      <c r="A1590" t="s">
        <v>12</v>
      </c>
      <c r="B1590" t="s">
        <v>8</v>
      </c>
      <c r="C1590">
        <v>58.135629999999999</v>
      </c>
      <c r="D1590" s="1">
        <v>40664</v>
      </c>
    </row>
    <row r="1591" spans="1:4" x14ac:dyDescent="0.25">
      <c r="A1591" t="s">
        <v>12</v>
      </c>
      <c r="B1591" t="s">
        <v>8</v>
      </c>
      <c r="C1591">
        <v>60.155239999999999</v>
      </c>
      <c r="D1591" s="1">
        <v>40695</v>
      </c>
    </row>
    <row r="1592" spans="1:4" x14ac:dyDescent="0.25">
      <c r="A1592" t="s">
        <v>12</v>
      </c>
      <c r="B1592" t="s">
        <v>8</v>
      </c>
      <c r="C1592">
        <v>58.833069999999999</v>
      </c>
      <c r="D1592" s="1">
        <v>40725</v>
      </c>
    </row>
    <row r="1593" spans="1:4" x14ac:dyDescent="0.25">
      <c r="A1593" t="s">
        <v>12</v>
      </c>
      <c r="B1593" t="s">
        <v>8</v>
      </c>
      <c r="C1593">
        <v>60.478050000000003</v>
      </c>
      <c r="D1593" s="1">
        <v>40756</v>
      </c>
    </row>
    <row r="1594" spans="1:4" x14ac:dyDescent="0.25">
      <c r="A1594" t="s">
        <v>12</v>
      </c>
      <c r="B1594" t="s">
        <v>8</v>
      </c>
      <c r="C1594">
        <v>63.098030000000001</v>
      </c>
      <c r="D1594" s="1">
        <v>40787</v>
      </c>
    </row>
    <row r="1595" spans="1:4" x14ac:dyDescent="0.25">
      <c r="A1595" t="s">
        <v>12</v>
      </c>
      <c r="B1595" t="s">
        <v>8</v>
      </c>
      <c r="C1595">
        <v>61.128230000000002</v>
      </c>
      <c r="D1595" s="1">
        <v>40817</v>
      </c>
    </row>
    <row r="1596" spans="1:4" x14ac:dyDescent="0.25">
      <c r="A1596" t="s">
        <v>12</v>
      </c>
      <c r="B1596" t="s">
        <v>8</v>
      </c>
      <c r="C1596">
        <v>63.194400000000002</v>
      </c>
      <c r="D1596" s="1">
        <v>40848</v>
      </c>
    </row>
    <row r="1597" spans="1:4" x14ac:dyDescent="0.25">
      <c r="A1597" t="s">
        <v>12</v>
      </c>
      <c r="B1597" t="s">
        <v>8</v>
      </c>
      <c r="C1597">
        <v>69.552049999999994</v>
      </c>
      <c r="D1597" s="1">
        <v>40878</v>
      </c>
    </row>
    <row r="1598" spans="1:4" x14ac:dyDescent="0.25">
      <c r="A1598" t="s">
        <v>12</v>
      </c>
      <c r="B1598" t="s">
        <v>8</v>
      </c>
      <c r="C1598">
        <v>57.494709999999998</v>
      </c>
      <c r="D1598" s="1">
        <v>40909</v>
      </c>
    </row>
    <row r="1599" spans="1:4" x14ac:dyDescent="0.25">
      <c r="A1599" t="s">
        <v>12</v>
      </c>
      <c r="B1599" t="s">
        <v>8</v>
      </c>
      <c r="C1599">
        <v>59.079810000000002</v>
      </c>
      <c r="D1599" s="1">
        <v>40940</v>
      </c>
    </row>
    <row r="1600" spans="1:4" x14ac:dyDescent="0.25">
      <c r="A1600" t="s">
        <v>12</v>
      </c>
      <c r="B1600" t="s">
        <v>8</v>
      </c>
      <c r="C1600">
        <v>62.561590000000002</v>
      </c>
      <c r="D1600" s="1">
        <v>40969</v>
      </c>
    </row>
    <row r="1601" spans="1:4" x14ac:dyDescent="0.25">
      <c r="A1601" t="s">
        <v>12</v>
      </c>
      <c r="B1601" t="s">
        <v>8</v>
      </c>
      <c r="C1601">
        <v>57.861519999999999</v>
      </c>
      <c r="D1601" s="1">
        <v>41000</v>
      </c>
    </row>
    <row r="1602" spans="1:4" x14ac:dyDescent="0.25">
      <c r="A1602" t="s">
        <v>12</v>
      </c>
      <c r="B1602" t="s">
        <v>8</v>
      </c>
      <c r="C1602">
        <v>62.396340000000002</v>
      </c>
      <c r="D1602" s="1">
        <v>41030</v>
      </c>
    </row>
    <row r="1603" spans="1:4" x14ac:dyDescent="0.25">
      <c r="A1603" t="s">
        <v>12</v>
      </c>
      <c r="B1603" t="s">
        <v>8</v>
      </c>
      <c r="C1603">
        <v>61.838630000000002</v>
      </c>
      <c r="D1603" s="1">
        <v>41061</v>
      </c>
    </row>
    <row r="1604" spans="1:4" x14ac:dyDescent="0.25">
      <c r="A1604" t="s">
        <v>12</v>
      </c>
      <c r="B1604" t="s">
        <v>8</v>
      </c>
      <c r="C1604">
        <v>61.146030000000003</v>
      </c>
      <c r="D1604" s="1">
        <v>41091</v>
      </c>
    </row>
    <row r="1605" spans="1:4" x14ac:dyDescent="0.25">
      <c r="A1605" t="s">
        <v>12</v>
      </c>
      <c r="B1605" t="s">
        <v>8</v>
      </c>
      <c r="C1605">
        <v>63.186810000000001</v>
      </c>
      <c r="D1605" s="1">
        <v>41122</v>
      </c>
    </row>
    <row r="1606" spans="1:4" x14ac:dyDescent="0.25">
      <c r="A1606" t="s">
        <v>12</v>
      </c>
      <c r="B1606" t="s">
        <v>8</v>
      </c>
      <c r="C1606">
        <v>63.174959999999999</v>
      </c>
      <c r="D1606" s="1">
        <v>41153</v>
      </c>
    </row>
    <row r="1607" spans="1:4" x14ac:dyDescent="0.25">
      <c r="A1607" t="s">
        <v>12</v>
      </c>
      <c r="B1607" t="s">
        <v>8</v>
      </c>
      <c r="C1607">
        <v>63.225360000000002</v>
      </c>
      <c r="D1607" s="1">
        <v>41183</v>
      </c>
    </row>
    <row r="1608" spans="1:4" x14ac:dyDescent="0.25">
      <c r="A1608" t="s">
        <v>12</v>
      </c>
      <c r="B1608" t="s">
        <v>8</v>
      </c>
      <c r="C1608">
        <v>65.592219999999998</v>
      </c>
      <c r="D1608" s="1">
        <v>41214</v>
      </c>
    </row>
    <row r="1609" spans="1:4" x14ac:dyDescent="0.25">
      <c r="A1609" t="s">
        <v>12</v>
      </c>
      <c r="B1609" t="s">
        <v>8</v>
      </c>
      <c r="C1609">
        <v>75.370620000000002</v>
      </c>
      <c r="D1609" s="1">
        <v>41244</v>
      </c>
    </row>
    <row r="1610" spans="1:4" x14ac:dyDescent="0.25">
      <c r="A1610" t="s">
        <v>12</v>
      </c>
      <c r="B1610" t="s">
        <v>8</v>
      </c>
      <c r="C1610">
        <v>62.458089999999999</v>
      </c>
      <c r="D1610" s="1">
        <v>41275</v>
      </c>
    </row>
    <row r="1611" spans="1:4" x14ac:dyDescent="0.25">
      <c r="A1611" t="s">
        <v>12</v>
      </c>
      <c r="B1611" t="s">
        <v>8</v>
      </c>
      <c r="C1611">
        <v>62.096469999999997</v>
      </c>
      <c r="D1611" s="1">
        <v>41306</v>
      </c>
    </row>
    <row r="1612" spans="1:4" x14ac:dyDescent="0.25">
      <c r="A1612" t="s">
        <v>12</v>
      </c>
      <c r="B1612" t="s">
        <v>8</v>
      </c>
      <c r="C1612">
        <v>64.773719999999997</v>
      </c>
      <c r="D1612" s="1">
        <v>41334</v>
      </c>
    </row>
    <row r="1613" spans="1:4" x14ac:dyDescent="0.25">
      <c r="A1613" t="s">
        <v>12</v>
      </c>
      <c r="B1613" t="s">
        <v>8</v>
      </c>
      <c r="C1613">
        <v>63.875030000000002</v>
      </c>
      <c r="D1613" s="1">
        <v>41365</v>
      </c>
    </row>
    <row r="1614" spans="1:4" x14ac:dyDescent="0.25">
      <c r="A1614" t="s">
        <v>12</v>
      </c>
      <c r="B1614" t="s">
        <v>8</v>
      </c>
      <c r="C1614">
        <v>66.161670000000001</v>
      </c>
      <c r="D1614" s="1">
        <v>41395</v>
      </c>
    </row>
    <row r="1615" spans="1:4" x14ac:dyDescent="0.25">
      <c r="A1615" t="s">
        <v>12</v>
      </c>
      <c r="B1615" t="s">
        <v>8</v>
      </c>
      <c r="C1615">
        <v>67.582470000000001</v>
      </c>
      <c r="D1615" s="1">
        <v>41426</v>
      </c>
    </row>
    <row r="1616" spans="1:4" x14ac:dyDescent="0.25">
      <c r="A1616" t="s">
        <v>12</v>
      </c>
      <c r="B1616" t="s">
        <v>8</v>
      </c>
      <c r="C1616">
        <v>64.00882</v>
      </c>
      <c r="D1616" s="1">
        <v>41456</v>
      </c>
    </row>
    <row r="1617" spans="1:4" x14ac:dyDescent="0.25">
      <c r="A1617" t="s">
        <v>12</v>
      </c>
      <c r="B1617" t="s">
        <v>8</v>
      </c>
      <c r="C1617">
        <v>64.77028</v>
      </c>
      <c r="D1617" s="1">
        <v>41487</v>
      </c>
    </row>
    <row r="1618" spans="1:4" x14ac:dyDescent="0.25">
      <c r="A1618" t="s">
        <v>12</v>
      </c>
      <c r="B1618" t="s">
        <v>8</v>
      </c>
      <c r="C1618">
        <v>67.537490000000005</v>
      </c>
      <c r="D1618" s="1">
        <v>41518</v>
      </c>
    </row>
    <row r="1619" spans="1:4" x14ac:dyDescent="0.25">
      <c r="A1619" t="s">
        <v>12</v>
      </c>
      <c r="B1619" t="s">
        <v>8</v>
      </c>
      <c r="C1619">
        <v>69.108400000000003</v>
      </c>
      <c r="D1619" s="1">
        <v>41548</v>
      </c>
    </row>
    <row r="1620" spans="1:4" x14ac:dyDescent="0.25">
      <c r="A1620" t="s">
        <v>12</v>
      </c>
      <c r="B1620" t="s">
        <v>8</v>
      </c>
      <c r="C1620">
        <v>71.051429999999996</v>
      </c>
      <c r="D1620" s="1">
        <v>41579</v>
      </c>
    </row>
    <row r="1621" spans="1:4" x14ac:dyDescent="0.25">
      <c r="A1621" t="s">
        <v>12</v>
      </c>
      <c r="B1621" t="s">
        <v>8</v>
      </c>
      <c r="C1621">
        <v>81.241280000000003</v>
      </c>
      <c r="D1621" s="1">
        <v>41609</v>
      </c>
    </row>
    <row r="1622" spans="1:4" x14ac:dyDescent="0.25">
      <c r="A1622" t="s">
        <v>12</v>
      </c>
      <c r="B1622" t="s">
        <v>8</v>
      </c>
      <c r="C1622">
        <v>69.952969999999993</v>
      </c>
      <c r="D1622" s="1">
        <v>41640</v>
      </c>
    </row>
    <row r="1623" spans="1:4" x14ac:dyDescent="0.25">
      <c r="A1623" t="s">
        <v>12</v>
      </c>
      <c r="B1623" t="s">
        <v>8</v>
      </c>
      <c r="C1623">
        <v>63.837629999999997</v>
      </c>
      <c r="D1623" s="1">
        <v>41671</v>
      </c>
    </row>
    <row r="1624" spans="1:4" x14ac:dyDescent="0.25">
      <c r="A1624" t="s">
        <v>12</v>
      </c>
      <c r="B1624" t="s">
        <v>8</v>
      </c>
      <c r="C1624">
        <v>68.782150000000001</v>
      </c>
      <c r="D1624" s="1">
        <v>41699</v>
      </c>
    </row>
    <row r="1625" spans="1:4" x14ac:dyDescent="0.25">
      <c r="A1625" t="s">
        <v>12</v>
      </c>
      <c r="B1625" t="s">
        <v>8</v>
      </c>
      <c r="C1625">
        <v>65.651809999999998</v>
      </c>
      <c r="D1625" s="1">
        <v>41730</v>
      </c>
    </row>
    <row r="1626" spans="1:4" x14ac:dyDescent="0.25">
      <c r="A1626" t="s">
        <v>12</v>
      </c>
      <c r="B1626" t="s">
        <v>8</v>
      </c>
      <c r="C1626">
        <v>68.733360000000005</v>
      </c>
      <c r="D1626" s="1">
        <v>41760</v>
      </c>
    </row>
    <row r="1627" spans="1:4" x14ac:dyDescent="0.25">
      <c r="A1627" t="s">
        <v>12</v>
      </c>
      <c r="B1627" t="s">
        <v>8</v>
      </c>
      <c r="C1627">
        <v>70.796760000000006</v>
      </c>
      <c r="D1627" s="1">
        <v>41791</v>
      </c>
    </row>
    <row r="1628" spans="1:4" x14ac:dyDescent="0.25">
      <c r="A1628" t="s">
        <v>12</v>
      </c>
      <c r="B1628" t="s">
        <v>8</v>
      </c>
      <c r="C1628">
        <v>68.300169999999994</v>
      </c>
      <c r="D1628" s="1">
        <v>41821</v>
      </c>
    </row>
    <row r="1629" spans="1:4" x14ac:dyDescent="0.25">
      <c r="A1629" t="s">
        <v>12</v>
      </c>
      <c r="B1629" t="s">
        <v>8</v>
      </c>
      <c r="C1629">
        <v>69.516549999999995</v>
      </c>
      <c r="D1629" s="1">
        <v>41852</v>
      </c>
    </row>
    <row r="1630" spans="1:4" x14ac:dyDescent="0.25">
      <c r="A1630" t="s">
        <v>12</v>
      </c>
      <c r="B1630" t="s">
        <v>8</v>
      </c>
      <c r="C1630">
        <v>72.798370000000006</v>
      </c>
      <c r="D1630" s="1">
        <v>41883</v>
      </c>
    </row>
    <row r="1631" spans="1:4" x14ac:dyDescent="0.25">
      <c r="A1631" t="s">
        <v>12</v>
      </c>
      <c r="B1631" t="s">
        <v>8</v>
      </c>
      <c r="C1631">
        <v>73.266999999999996</v>
      </c>
      <c r="D1631" s="1">
        <v>41913</v>
      </c>
    </row>
    <row r="1632" spans="1:4" x14ac:dyDescent="0.25">
      <c r="A1632" t="s">
        <v>12</v>
      </c>
      <c r="B1632" t="s">
        <v>8</v>
      </c>
      <c r="C1632">
        <v>74.037949999999995</v>
      </c>
      <c r="D1632" s="1">
        <v>41944</v>
      </c>
    </row>
    <row r="1633" spans="1:4" x14ac:dyDescent="0.25">
      <c r="A1633" t="s">
        <v>12</v>
      </c>
      <c r="B1633" t="s">
        <v>8</v>
      </c>
      <c r="C1633">
        <v>79.741150000000005</v>
      </c>
      <c r="D1633" s="1">
        <v>41974</v>
      </c>
    </row>
    <row r="1634" spans="1:4" x14ac:dyDescent="0.25">
      <c r="A1634" t="s">
        <v>12</v>
      </c>
      <c r="B1634" t="s">
        <v>8</v>
      </c>
      <c r="C1634">
        <v>68.793300000000002</v>
      </c>
      <c r="D1634" s="1">
        <v>42005</v>
      </c>
    </row>
    <row r="1635" spans="1:4" x14ac:dyDescent="0.25">
      <c r="A1635" t="s">
        <v>12</v>
      </c>
      <c r="B1635" t="s">
        <v>8</v>
      </c>
      <c r="C1635">
        <v>68.983729999999994</v>
      </c>
      <c r="D1635" s="1">
        <v>42036</v>
      </c>
    </row>
    <row r="1636" spans="1:4" x14ac:dyDescent="0.25">
      <c r="A1636" t="s">
        <v>12</v>
      </c>
      <c r="B1636" t="s">
        <v>8</v>
      </c>
      <c r="C1636">
        <v>74.402410000000003</v>
      </c>
      <c r="D1636" s="1">
        <v>42064</v>
      </c>
    </row>
    <row r="1637" spans="1:4" x14ac:dyDescent="0.25">
      <c r="A1637" t="s">
        <v>12</v>
      </c>
      <c r="B1637" t="s">
        <v>8</v>
      </c>
      <c r="C1637">
        <v>68.034809999999993</v>
      </c>
      <c r="D1637" s="1">
        <v>42095</v>
      </c>
    </row>
    <row r="1638" spans="1:4" x14ac:dyDescent="0.25">
      <c r="A1638" t="s">
        <v>12</v>
      </c>
      <c r="B1638" t="s">
        <v>8</v>
      </c>
      <c r="C1638">
        <v>70.593140000000005</v>
      </c>
      <c r="D1638" s="1">
        <v>42125</v>
      </c>
    </row>
    <row r="1639" spans="1:4" x14ac:dyDescent="0.25">
      <c r="A1639" t="s">
        <v>12</v>
      </c>
      <c r="B1639" t="s">
        <v>8</v>
      </c>
      <c r="C1639">
        <v>72.370130000000003</v>
      </c>
      <c r="D1639" s="1">
        <v>42156</v>
      </c>
    </row>
    <row r="1640" spans="1:4" x14ac:dyDescent="0.25">
      <c r="A1640" t="s">
        <v>12</v>
      </c>
      <c r="B1640" t="s">
        <v>8</v>
      </c>
      <c r="C1640">
        <v>68.644760000000005</v>
      </c>
      <c r="D1640" s="1">
        <v>42186</v>
      </c>
    </row>
    <row r="1641" spans="1:4" x14ac:dyDescent="0.25">
      <c r="A1641" t="s">
        <v>12</v>
      </c>
      <c r="B1641" t="s">
        <v>8</v>
      </c>
      <c r="C1641">
        <v>69.068790000000007</v>
      </c>
      <c r="D1641" s="1">
        <v>42217</v>
      </c>
    </row>
    <row r="1642" spans="1:4" x14ac:dyDescent="0.25">
      <c r="A1642" t="s">
        <v>12</v>
      </c>
      <c r="B1642" t="s">
        <v>8</v>
      </c>
      <c r="C1642">
        <v>71.397260000000003</v>
      </c>
      <c r="D1642" s="1">
        <v>42248</v>
      </c>
    </row>
    <row r="1643" spans="1:4" x14ac:dyDescent="0.25">
      <c r="A1643" t="s">
        <v>12</v>
      </c>
      <c r="B1643" t="s">
        <v>8</v>
      </c>
      <c r="C1643">
        <v>69.125370000000004</v>
      </c>
      <c r="D1643" s="1">
        <v>42278</v>
      </c>
    </row>
    <row r="1644" spans="1:4" x14ac:dyDescent="0.25">
      <c r="A1644" t="s">
        <v>12</v>
      </c>
      <c r="B1644" t="s">
        <v>8</v>
      </c>
      <c r="C1644">
        <v>70.161299999999997</v>
      </c>
      <c r="D1644" s="1">
        <v>42309</v>
      </c>
    </row>
    <row r="1645" spans="1:4" x14ac:dyDescent="0.25">
      <c r="A1645" t="s">
        <v>12</v>
      </c>
      <c r="B1645" t="s">
        <v>8</v>
      </c>
      <c r="C1645">
        <v>80.250559999999993</v>
      </c>
      <c r="D1645" s="1">
        <v>42339</v>
      </c>
    </row>
    <row r="1646" spans="1:4" x14ac:dyDescent="0.25">
      <c r="A1646" t="s">
        <v>12</v>
      </c>
      <c r="B1646" t="s">
        <v>8</v>
      </c>
      <c r="C1646">
        <v>66.376990000000006</v>
      </c>
      <c r="D1646" s="1">
        <v>42370</v>
      </c>
    </row>
    <row r="1647" spans="1:4" x14ac:dyDescent="0.25">
      <c r="A1647" t="s">
        <v>12</v>
      </c>
      <c r="B1647" t="s">
        <v>8</v>
      </c>
      <c r="C1647">
        <v>62.903230000000001</v>
      </c>
      <c r="D1647" s="1">
        <v>42401</v>
      </c>
    </row>
    <row r="1648" spans="1:4" x14ac:dyDescent="0.25">
      <c r="A1648" t="s">
        <v>12</v>
      </c>
      <c r="B1648" t="s">
        <v>8</v>
      </c>
      <c r="C1648">
        <v>67.748760000000004</v>
      </c>
      <c r="D1648" s="1">
        <v>42430</v>
      </c>
    </row>
    <row r="1649" spans="1:4" x14ac:dyDescent="0.25">
      <c r="A1649" t="s">
        <v>12</v>
      </c>
      <c r="B1649" t="s">
        <v>8</v>
      </c>
      <c r="C1649">
        <v>65.263360000000006</v>
      </c>
      <c r="D1649" s="1">
        <v>42461</v>
      </c>
    </row>
    <row r="1650" spans="1:4" x14ac:dyDescent="0.25">
      <c r="A1650" t="s">
        <v>12</v>
      </c>
      <c r="B1650" t="s">
        <v>8</v>
      </c>
      <c r="C1650">
        <v>67.094939999999994</v>
      </c>
      <c r="D1650" s="1">
        <v>42491</v>
      </c>
    </row>
    <row r="1651" spans="1:4" x14ac:dyDescent="0.25">
      <c r="A1651" t="s">
        <v>12</v>
      </c>
      <c r="B1651" t="s">
        <v>8</v>
      </c>
      <c r="C1651">
        <v>69.835409999999996</v>
      </c>
      <c r="D1651" s="1">
        <v>42522</v>
      </c>
    </row>
    <row r="1652" spans="1:4" x14ac:dyDescent="0.25">
      <c r="A1652" t="s">
        <v>12</v>
      </c>
      <c r="B1652" t="s">
        <v>8</v>
      </c>
      <c r="C1652">
        <v>66.386849999999995</v>
      </c>
      <c r="D1652" s="1">
        <v>42552</v>
      </c>
    </row>
    <row r="1653" spans="1:4" x14ac:dyDescent="0.25">
      <c r="A1653" t="s">
        <v>12</v>
      </c>
      <c r="B1653" t="s">
        <v>8</v>
      </c>
      <c r="C1653">
        <v>68.50385</v>
      </c>
      <c r="D1653" s="1">
        <v>42583</v>
      </c>
    </row>
    <row r="1654" spans="1:4" x14ac:dyDescent="0.25">
      <c r="A1654" t="s">
        <v>12</v>
      </c>
      <c r="B1654" t="s">
        <v>8</v>
      </c>
      <c r="C1654">
        <v>71.299610000000001</v>
      </c>
      <c r="D1654" s="1">
        <v>42614</v>
      </c>
    </row>
    <row r="1655" spans="1:4" x14ac:dyDescent="0.25">
      <c r="A1655" t="s">
        <v>12</v>
      </c>
      <c r="B1655" t="s">
        <v>8</v>
      </c>
      <c r="C1655">
        <v>66.54213</v>
      </c>
      <c r="D1655" s="1">
        <v>42644</v>
      </c>
    </row>
    <row r="1656" spans="1:4" x14ac:dyDescent="0.25">
      <c r="A1656" t="s">
        <v>12</v>
      </c>
      <c r="B1656" t="s">
        <v>8</v>
      </c>
      <c r="C1656">
        <v>68.250529999999998</v>
      </c>
      <c r="D1656" s="1">
        <v>42675</v>
      </c>
    </row>
    <row r="1657" spans="1:4" x14ac:dyDescent="0.25">
      <c r="A1657" t="s">
        <v>12</v>
      </c>
      <c r="B1657" t="s">
        <v>8</v>
      </c>
      <c r="C1657">
        <v>74.775630000000007</v>
      </c>
      <c r="D1657" s="1">
        <v>42705</v>
      </c>
    </row>
    <row r="1658" spans="1:4" x14ac:dyDescent="0.25">
      <c r="A1658" t="s">
        <v>12</v>
      </c>
      <c r="B1658" t="s">
        <v>8</v>
      </c>
      <c r="C1658">
        <v>70.000749999999996</v>
      </c>
      <c r="D1658" s="1">
        <v>42736</v>
      </c>
    </row>
    <row r="1659" spans="1:4" x14ac:dyDescent="0.25">
      <c r="A1659" t="s">
        <v>12</v>
      </c>
      <c r="B1659" t="s">
        <v>8</v>
      </c>
      <c r="C1659">
        <v>67.531959999999998</v>
      </c>
      <c r="D1659" s="1">
        <v>42767</v>
      </c>
    </row>
    <row r="1660" spans="1:4" x14ac:dyDescent="0.25">
      <c r="A1660" t="s">
        <v>12</v>
      </c>
      <c r="B1660" t="s">
        <v>8</v>
      </c>
      <c r="C1660">
        <v>68.584069999999997</v>
      </c>
      <c r="D1660" s="1">
        <v>42795</v>
      </c>
    </row>
    <row r="1661" spans="1:4" x14ac:dyDescent="0.25">
      <c r="A1661" t="s">
        <v>12</v>
      </c>
      <c r="B1661" t="s">
        <v>8</v>
      </c>
      <c r="C1661">
        <v>66.054320000000004</v>
      </c>
      <c r="D1661" s="1">
        <v>42826</v>
      </c>
    </row>
    <row r="1662" spans="1:4" x14ac:dyDescent="0.25">
      <c r="A1662" t="s">
        <v>12</v>
      </c>
      <c r="B1662" t="s">
        <v>8</v>
      </c>
      <c r="C1662">
        <v>66.969170000000005</v>
      </c>
      <c r="D1662" s="1">
        <v>42856</v>
      </c>
    </row>
    <row r="1663" spans="1:4" x14ac:dyDescent="0.25">
      <c r="A1663" t="s">
        <v>12</v>
      </c>
      <c r="B1663" t="s">
        <v>8</v>
      </c>
      <c r="C1663">
        <v>73.289050000000003</v>
      </c>
      <c r="D1663" s="1">
        <v>42887</v>
      </c>
    </row>
    <row r="1664" spans="1:4" x14ac:dyDescent="0.25">
      <c r="A1664" t="s">
        <v>12</v>
      </c>
      <c r="B1664" t="s">
        <v>8</v>
      </c>
      <c r="C1664">
        <v>68.001609999999999</v>
      </c>
      <c r="D1664" s="1">
        <v>42917</v>
      </c>
    </row>
    <row r="1665" spans="1:4" x14ac:dyDescent="0.25">
      <c r="A1665" t="s">
        <v>12</v>
      </c>
      <c r="B1665" t="s">
        <v>8</v>
      </c>
      <c r="C1665">
        <v>70.325770000000006</v>
      </c>
      <c r="D1665" s="1">
        <v>42948</v>
      </c>
    </row>
    <row r="1666" spans="1:4" x14ac:dyDescent="0.25">
      <c r="A1666" t="s">
        <v>12</v>
      </c>
      <c r="B1666" t="s">
        <v>8</v>
      </c>
      <c r="C1666">
        <v>68.861429999999999</v>
      </c>
      <c r="D1666" s="1">
        <v>42979</v>
      </c>
    </row>
    <row r="1667" spans="1:4" x14ac:dyDescent="0.25">
      <c r="A1667" t="s">
        <v>12</v>
      </c>
      <c r="B1667" t="s">
        <v>8</v>
      </c>
      <c r="C1667">
        <v>67.957390000000004</v>
      </c>
      <c r="D1667" s="1">
        <v>43009</v>
      </c>
    </row>
    <row r="1668" spans="1:4" x14ac:dyDescent="0.25">
      <c r="A1668" t="s">
        <v>12</v>
      </c>
      <c r="B1668" t="s">
        <v>8</v>
      </c>
      <c r="C1668">
        <v>71.188980000000001</v>
      </c>
      <c r="D1668" s="1">
        <v>43040</v>
      </c>
    </row>
    <row r="1669" spans="1:4" x14ac:dyDescent="0.25">
      <c r="A1669" t="s">
        <v>12</v>
      </c>
      <c r="B1669" t="s">
        <v>8</v>
      </c>
      <c r="C1669">
        <v>78.536510000000007</v>
      </c>
      <c r="D1669" s="1">
        <v>43070</v>
      </c>
    </row>
    <row r="1670" spans="1:4" x14ac:dyDescent="0.25">
      <c r="A1670" t="s">
        <v>12</v>
      </c>
      <c r="B1670" t="s">
        <v>8</v>
      </c>
      <c r="C1670">
        <v>67.572370000000006</v>
      </c>
      <c r="D1670" s="1">
        <v>43101</v>
      </c>
    </row>
    <row r="1671" spans="1:4" x14ac:dyDescent="0.25">
      <c r="A1671" t="s">
        <v>12</v>
      </c>
      <c r="B1671" t="s">
        <v>8</v>
      </c>
      <c r="C1671">
        <v>64.058790000000002</v>
      </c>
      <c r="D1671" s="1">
        <v>43132</v>
      </c>
    </row>
    <row r="1672" spans="1:4" x14ac:dyDescent="0.25">
      <c r="A1672" t="s">
        <v>12</v>
      </c>
      <c r="B1672" t="s">
        <v>8</v>
      </c>
      <c r="C1672">
        <v>71.032669999999996</v>
      </c>
      <c r="D1672" s="1">
        <v>43160</v>
      </c>
    </row>
    <row r="1673" spans="1:4" x14ac:dyDescent="0.25">
      <c r="A1673" t="s">
        <v>12</v>
      </c>
      <c r="B1673" t="s">
        <v>8</v>
      </c>
      <c r="C1673">
        <v>65.915170000000003</v>
      </c>
      <c r="D1673" s="1">
        <v>43191</v>
      </c>
    </row>
    <row r="1674" spans="1:4" x14ac:dyDescent="0.25">
      <c r="A1674" t="s">
        <v>12</v>
      </c>
      <c r="B1674" t="s">
        <v>8</v>
      </c>
      <c r="C1674">
        <v>67.497500000000002</v>
      </c>
      <c r="D1674" s="1">
        <v>43221</v>
      </c>
    </row>
    <row r="1675" spans="1:4" x14ac:dyDescent="0.25">
      <c r="A1675" t="s">
        <v>12</v>
      </c>
      <c r="B1675" t="s">
        <v>8</v>
      </c>
      <c r="C1675">
        <v>74.455240000000003</v>
      </c>
      <c r="D1675" s="1">
        <v>43252</v>
      </c>
    </row>
    <row r="1676" spans="1:4" x14ac:dyDescent="0.25">
      <c r="A1676" t="s">
        <v>12</v>
      </c>
      <c r="B1676" t="s">
        <v>8</v>
      </c>
      <c r="C1676">
        <v>69.768990000000002</v>
      </c>
      <c r="D1676" s="1">
        <v>43282</v>
      </c>
    </row>
    <row r="1677" spans="1:4" x14ac:dyDescent="0.25">
      <c r="A1677" t="s">
        <v>12</v>
      </c>
      <c r="B1677" t="s">
        <v>8</v>
      </c>
      <c r="C1677">
        <v>72.795540000000003</v>
      </c>
      <c r="D1677" s="1">
        <v>43313</v>
      </c>
    </row>
    <row r="1678" spans="1:4" x14ac:dyDescent="0.25">
      <c r="A1678" t="s">
        <v>12</v>
      </c>
      <c r="B1678" t="s">
        <v>8</v>
      </c>
      <c r="C1678">
        <v>75.078729999999993</v>
      </c>
      <c r="D1678" s="1">
        <v>43344</v>
      </c>
    </row>
    <row r="1679" spans="1:4" x14ac:dyDescent="0.25">
      <c r="A1679" t="s">
        <v>12</v>
      </c>
      <c r="B1679" t="s">
        <v>8</v>
      </c>
      <c r="C1679">
        <v>73.367540000000005</v>
      </c>
      <c r="D1679" s="1">
        <v>43374</v>
      </c>
    </row>
    <row r="1680" spans="1:4" x14ac:dyDescent="0.25">
      <c r="A1680" t="s">
        <v>12</v>
      </c>
      <c r="B1680" t="s">
        <v>8</v>
      </c>
      <c r="C1680">
        <v>77.393339999999995</v>
      </c>
      <c r="D1680" s="1">
        <v>43405</v>
      </c>
    </row>
    <row r="1681" spans="1:4" x14ac:dyDescent="0.25">
      <c r="A1681" t="s">
        <v>12</v>
      </c>
      <c r="B1681" t="s">
        <v>8</v>
      </c>
      <c r="C1681">
        <v>87.689419999999998</v>
      </c>
      <c r="D1681" s="1">
        <v>43435</v>
      </c>
    </row>
    <row r="1682" spans="1:4" x14ac:dyDescent="0.25">
      <c r="A1682" t="s">
        <v>12</v>
      </c>
      <c r="B1682" t="s">
        <v>8</v>
      </c>
      <c r="C1682">
        <v>74.909599999999998</v>
      </c>
      <c r="D1682" s="1">
        <v>43466</v>
      </c>
    </row>
    <row r="1683" spans="1:4" x14ac:dyDescent="0.25">
      <c r="A1683" t="s">
        <v>12</v>
      </c>
      <c r="B1683" t="s">
        <v>8</v>
      </c>
      <c r="C1683">
        <v>75.264840000000007</v>
      </c>
      <c r="D1683" s="1">
        <v>43497</v>
      </c>
    </row>
    <row r="1684" spans="1:4" x14ac:dyDescent="0.25">
      <c r="A1684" t="s">
        <v>12</v>
      </c>
      <c r="B1684" t="s">
        <v>8</v>
      </c>
      <c r="C1684">
        <v>77.771240000000006</v>
      </c>
      <c r="D1684" s="1">
        <v>43525</v>
      </c>
    </row>
    <row r="1685" spans="1:4" x14ac:dyDescent="0.25">
      <c r="A1685" t="s">
        <v>12</v>
      </c>
      <c r="B1685" t="s">
        <v>8</v>
      </c>
      <c r="C1685">
        <v>73.359809999999996</v>
      </c>
      <c r="D1685" s="1">
        <v>43556</v>
      </c>
    </row>
    <row r="1686" spans="1:4" x14ac:dyDescent="0.25">
      <c r="A1686" t="s">
        <v>12</v>
      </c>
      <c r="B1686" t="s">
        <v>8</v>
      </c>
      <c r="C1686">
        <v>78.100440000000006</v>
      </c>
      <c r="D1686" s="1">
        <v>43586</v>
      </c>
    </row>
    <row r="1687" spans="1:4" x14ac:dyDescent="0.25">
      <c r="A1687" t="s">
        <v>12</v>
      </c>
      <c r="B1687" t="s">
        <v>8</v>
      </c>
      <c r="C1687">
        <v>78.465270000000004</v>
      </c>
      <c r="D1687" s="1">
        <v>43617</v>
      </c>
    </row>
    <row r="1688" spans="1:4" x14ac:dyDescent="0.25">
      <c r="A1688" t="s">
        <v>12</v>
      </c>
      <c r="B1688" t="s">
        <v>8</v>
      </c>
      <c r="C1688">
        <v>75.912199999999999</v>
      </c>
      <c r="D1688" s="1">
        <v>43647</v>
      </c>
    </row>
    <row r="1689" spans="1:4" x14ac:dyDescent="0.25">
      <c r="A1689" t="s">
        <v>12</v>
      </c>
      <c r="B1689" t="s">
        <v>8</v>
      </c>
      <c r="C1689">
        <v>78.733519999999999</v>
      </c>
      <c r="D1689" s="1">
        <v>43678</v>
      </c>
    </row>
    <row r="1690" spans="1:4" x14ac:dyDescent="0.25">
      <c r="A1690" t="s">
        <v>12</v>
      </c>
      <c r="B1690" t="s">
        <v>8</v>
      </c>
      <c r="C1690">
        <v>79.287840000000003</v>
      </c>
      <c r="D1690" s="1">
        <v>43709</v>
      </c>
    </row>
    <row r="1691" spans="1:4" x14ac:dyDescent="0.25">
      <c r="A1691" t="s">
        <v>12</v>
      </c>
      <c r="B1691" t="s">
        <v>8</v>
      </c>
      <c r="C1691">
        <v>79.662409999999994</v>
      </c>
      <c r="D1691" s="1">
        <v>43739</v>
      </c>
    </row>
    <row r="1692" spans="1:4" x14ac:dyDescent="0.25">
      <c r="A1692" t="s">
        <v>12</v>
      </c>
      <c r="B1692" t="s">
        <v>8</v>
      </c>
      <c r="C1692">
        <v>81.434820000000002</v>
      </c>
      <c r="D1692" s="1">
        <v>43770</v>
      </c>
    </row>
    <row r="1693" spans="1:4" x14ac:dyDescent="0.25">
      <c r="A1693" t="s">
        <v>12</v>
      </c>
      <c r="B1693" t="s">
        <v>8</v>
      </c>
      <c r="C1693">
        <v>93.793189999999996</v>
      </c>
      <c r="D1693" s="1">
        <v>43800</v>
      </c>
    </row>
    <row r="1694" spans="1:4" x14ac:dyDescent="0.25">
      <c r="A1694" t="s">
        <v>12</v>
      </c>
      <c r="B1694" t="s">
        <v>8</v>
      </c>
      <c r="C1694">
        <v>79.143410000000003</v>
      </c>
      <c r="D1694" s="1">
        <v>43831</v>
      </c>
    </row>
    <row r="1695" spans="1:4" x14ac:dyDescent="0.25">
      <c r="A1695" t="s">
        <v>12</v>
      </c>
      <c r="B1695" t="s">
        <v>8</v>
      </c>
      <c r="C1695">
        <v>76.680660000000003</v>
      </c>
      <c r="D1695" s="1">
        <v>43862</v>
      </c>
    </row>
    <row r="1696" spans="1:4" x14ac:dyDescent="0.25">
      <c r="A1696" t="s">
        <v>12</v>
      </c>
      <c r="B1696" t="s">
        <v>8</v>
      </c>
      <c r="C1696">
        <v>78.711690000000004</v>
      </c>
      <c r="D1696" s="1">
        <v>43891</v>
      </c>
    </row>
    <row r="1697" spans="1:4" x14ac:dyDescent="0.25">
      <c r="A1697" t="s">
        <v>12</v>
      </c>
      <c r="B1697" t="s">
        <v>8</v>
      </c>
      <c r="C1697">
        <v>71.822800000000001</v>
      </c>
      <c r="D1697" s="1">
        <v>43922</v>
      </c>
    </row>
    <row r="1698" spans="1:4" x14ac:dyDescent="0.25">
      <c r="A1698" t="s">
        <v>12</v>
      </c>
      <c r="B1698" t="s">
        <v>8</v>
      </c>
      <c r="C1698">
        <v>72.542140000000003</v>
      </c>
      <c r="D1698" s="1">
        <v>43952</v>
      </c>
    </row>
    <row r="1699" spans="1:4" x14ac:dyDescent="0.25">
      <c r="A1699" t="s">
        <v>12</v>
      </c>
      <c r="B1699" t="s">
        <v>8</v>
      </c>
      <c r="C1699">
        <v>79.914209999999997</v>
      </c>
      <c r="D1699" s="1">
        <v>43983</v>
      </c>
    </row>
    <row r="1700" spans="1:4" x14ac:dyDescent="0.25">
      <c r="A1700" t="s">
        <v>12</v>
      </c>
      <c r="B1700" t="s">
        <v>8</v>
      </c>
      <c r="C1700">
        <v>78.89564</v>
      </c>
      <c r="D1700" s="1">
        <v>44013</v>
      </c>
    </row>
    <row r="1701" spans="1:4" x14ac:dyDescent="0.25">
      <c r="A1701" t="s">
        <v>12</v>
      </c>
      <c r="B1701" t="s">
        <v>8</v>
      </c>
      <c r="C1701">
        <v>78.755330000000001</v>
      </c>
      <c r="D1701" s="1">
        <v>44044</v>
      </c>
    </row>
    <row r="1702" spans="1:4" x14ac:dyDescent="0.25">
      <c r="A1702" t="s">
        <v>12</v>
      </c>
      <c r="B1702" t="s">
        <v>8</v>
      </c>
      <c r="C1702">
        <v>82.030839999999998</v>
      </c>
      <c r="D1702" s="1">
        <v>44075</v>
      </c>
    </row>
    <row r="1703" spans="1:4" x14ac:dyDescent="0.25">
      <c r="A1703" t="s">
        <v>12</v>
      </c>
      <c r="B1703" t="s">
        <v>8</v>
      </c>
      <c r="C1703">
        <v>84.165310000000005</v>
      </c>
      <c r="D1703" s="1">
        <v>44105</v>
      </c>
    </row>
    <row r="1704" spans="1:4" x14ac:dyDescent="0.25">
      <c r="A1704" t="s">
        <v>12</v>
      </c>
      <c r="B1704" t="s">
        <v>8</v>
      </c>
      <c r="C1704">
        <v>87.278899999999993</v>
      </c>
      <c r="D1704" s="1">
        <v>44136</v>
      </c>
    </row>
    <row r="1705" spans="1:4" x14ac:dyDescent="0.25">
      <c r="A1705" t="s">
        <v>12</v>
      </c>
      <c r="B1705" t="s">
        <v>8</v>
      </c>
      <c r="C1705">
        <v>99.624399999999994</v>
      </c>
      <c r="D1705" s="1">
        <v>44166</v>
      </c>
    </row>
    <row r="1706" spans="1:4" x14ac:dyDescent="0.25">
      <c r="A1706" t="s">
        <v>12</v>
      </c>
      <c r="B1706" t="s">
        <v>8</v>
      </c>
      <c r="C1706">
        <v>84.242829999999998</v>
      </c>
      <c r="D1706" s="1">
        <v>44197</v>
      </c>
    </row>
    <row r="1707" spans="1:4" x14ac:dyDescent="0.25">
      <c r="A1707" t="s">
        <v>12</v>
      </c>
      <c r="B1707" t="s">
        <v>8</v>
      </c>
      <c r="C1707">
        <v>82.803809999999999</v>
      </c>
      <c r="D1707" s="1">
        <v>44228</v>
      </c>
    </row>
    <row r="1708" spans="1:4" x14ac:dyDescent="0.25">
      <c r="A1708" t="s">
        <v>12</v>
      </c>
      <c r="B1708" t="s">
        <v>8</v>
      </c>
      <c r="C1708">
        <v>89.732569999999996</v>
      </c>
      <c r="D1708" s="1">
        <v>44256</v>
      </c>
    </row>
    <row r="1709" spans="1:4" x14ac:dyDescent="0.25">
      <c r="A1709" t="s">
        <v>12</v>
      </c>
      <c r="B1709" t="s">
        <v>8</v>
      </c>
      <c r="C1709">
        <v>88.633499999999998</v>
      </c>
      <c r="D1709" s="1">
        <v>44287</v>
      </c>
    </row>
    <row r="1710" spans="1:4" x14ac:dyDescent="0.25">
      <c r="A1710" t="s">
        <v>12</v>
      </c>
      <c r="B1710" t="s">
        <v>8</v>
      </c>
      <c r="C1710">
        <v>89.148799999999994</v>
      </c>
      <c r="D1710" s="1">
        <v>44317</v>
      </c>
    </row>
    <row r="1711" spans="1:4" x14ac:dyDescent="0.25">
      <c r="A1711" t="s">
        <v>12</v>
      </c>
      <c r="B1711" t="s">
        <v>8</v>
      </c>
      <c r="C1711">
        <v>95.318709999999996</v>
      </c>
      <c r="D1711" s="1">
        <v>44348</v>
      </c>
    </row>
    <row r="1712" spans="1:4" x14ac:dyDescent="0.25">
      <c r="A1712" t="s">
        <v>12</v>
      </c>
      <c r="B1712" t="s">
        <v>8</v>
      </c>
      <c r="C1712">
        <v>92.276449999999997</v>
      </c>
      <c r="D1712" s="1">
        <v>44378</v>
      </c>
    </row>
    <row r="1713" spans="1:4" x14ac:dyDescent="0.25">
      <c r="A1713" t="s">
        <v>12</v>
      </c>
      <c r="B1713" t="s">
        <v>8</v>
      </c>
      <c r="C1713">
        <v>95.024190000000004</v>
      </c>
      <c r="D1713" s="1">
        <v>44409</v>
      </c>
    </row>
    <row r="1714" spans="1:4" x14ac:dyDescent="0.25">
      <c r="A1714" t="s">
        <v>12</v>
      </c>
      <c r="B1714" t="s">
        <v>8</v>
      </c>
      <c r="C1714">
        <v>94.418170000000003</v>
      </c>
      <c r="D1714" s="1">
        <v>44440</v>
      </c>
    </row>
    <row r="1715" spans="1:4" x14ac:dyDescent="0.25">
      <c r="A1715" t="s">
        <v>12</v>
      </c>
      <c r="B1715" t="s">
        <v>8</v>
      </c>
      <c r="C1715">
        <v>93.754220000000004</v>
      </c>
      <c r="D1715" s="1">
        <v>44470</v>
      </c>
    </row>
    <row r="1716" spans="1:4" x14ac:dyDescent="0.25">
      <c r="A1716" t="s">
        <v>12</v>
      </c>
      <c r="B1716" t="s">
        <v>8</v>
      </c>
      <c r="C1716">
        <v>102.90155</v>
      </c>
      <c r="D1716" s="1">
        <v>44501</v>
      </c>
    </row>
    <row r="1717" spans="1:4" x14ac:dyDescent="0.25">
      <c r="A1717" t="s">
        <v>12</v>
      </c>
      <c r="B1717" t="s">
        <v>8</v>
      </c>
      <c r="C1717">
        <v>116.72269</v>
      </c>
      <c r="D1717" s="1">
        <v>44531</v>
      </c>
    </row>
    <row r="1718" spans="1:4" x14ac:dyDescent="0.25">
      <c r="A1718" t="s">
        <v>12</v>
      </c>
      <c r="B1718" t="s">
        <v>8</v>
      </c>
      <c r="C1718">
        <v>91.965190000000007</v>
      </c>
      <c r="D1718" s="1">
        <v>44562</v>
      </c>
    </row>
    <row r="1719" spans="1:4" x14ac:dyDescent="0.25">
      <c r="A1719" t="s">
        <v>12</v>
      </c>
      <c r="B1719" t="s">
        <v>8</v>
      </c>
      <c r="C1719">
        <v>88.379480000000001</v>
      </c>
      <c r="D1719" s="1">
        <v>44593</v>
      </c>
    </row>
    <row r="1720" spans="1:4" x14ac:dyDescent="0.25">
      <c r="A1720" t="s">
        <v>12</v>
      </c>
      <c r="B1720" t="s">
        <v>8</v>
      </c>
      <c r="C1720">
        <v>97.555120000000002</v>
      </c>
      <c r="D1720" s="1">
        <v>44621</v>
      </c>
    </row>
    <row r="1721" spans="1:4" x14ac:dyDescent="0.25">
      <c r="A1721" t="s">
        <v>12</v>
      </c>
      <c r="B1721" t="s">
        <v>8</v>
      </c>
      <c r="C1721">
        <v>93.028750000000002</v>
      </c>
      <c r="D1721" s="1">
        <v>44652</v>
      </c>
    </row>
    <row r="1722" spans="1:4" x14ac:dyDescent="0.25">
      <c r="A1722" t="s">
        <v>12</v>
      </c>
      <c r="B1722" t="s">
        <v>8</v>
      </c>
      <c r="C1722">
        <v>96.984350000000006</v>
      </c>
      <c r="D1722" s="1">
        <v>44682</v>
      </c>
    </row>
    <row r="1723" spans="1:4" x14ac:dyDescent="0.25">
      <c r="A1723" t="s">
        <v>12</v>
      </c>
      <c r="B1723" t="s">
        <v>8</v>
      </c>
      <c r="C1723">
        <v>99.951220000000006</v>
      </c>
      <c r="D1723" s="1">
        <v>44713</v>
      </c>
    </row>
    <row r="1724" spans="1:4" x14ac:dyDescent="0.25">
      <c r="A1724" t="s">
        <v>12</v>
      </c>
      <c r="B1724" t="s">
        <v>8</v>
      </c>
      <c r="C1724">
        <v>98.737790000000004</v>
      </c>
      <c r="D1724" s="1">
        <v>44743</v>
      </c>
    </row>
    <row r="1725" spans="1:4" x14ac:dyDescent="0.25">
      <c r="A1725" t="s">
        <v>12</v>
      </c>
      <c r="B1725" t="s">
        <v>8</v>
      </c>
      <c r="C1725">
        <v>101.05492</v>
      </c>
      <c r="D1725" s="1">
        <v>44774</v>
      </c>
    </row>
    <row r="1726" spans="1:4" x14ac:dyDescent="0.25">
      <c r="A1726" t="s">
        <v>12</v>
      </c>
      <c r="B1726" t="s">
        <v>8</v>
      </c>
      <c r="C1726">
        <v>104.10391</v>
      </c>
      <c r="D1726" s="1">
        <v>44805</v>
      </c>
    </row>
    <row r="1727" spans="1:4" x14ac:dyDescent="0.25">
      <c r="A1727" t="s">
        <v>12</v>
      </c>
      <c r="B1727" t="s">
        <v>8</v>
      </c>
      <c r="C1727">
        <v>107.09786</v>
      </c>
      <c r="D1727" s="1">
        <v>44835</v>
      </c>
    </row>
    <row r="1728" spans="1:4" x14ac:dyDescent="0.25">
      <c r="A1728" t="s">
        <v>12</v>
      </c>
      <c r="B1728" t="s">
        <v>8</v>
      </c>
      <c r="C1728">
        <v>107.64257000000001</v>
      </c>
      <c r="D1728" s="1">
        <v>44866</v>
      </c>
    </row>
    <row r="1729" spans="1:4" x14ac:dyDescent="0.25">
      <c r="A1729" t="s">
        <v>12</v>
      </c>
      <c r="B1729" t="s">
        <v>8</v>
      </c>
      <c r="C1729">
        <v>113.49885</v>
      </c>
      <c r="D1729" s="1">
        <v>44896</v>
      </c>
    </row>
    <row r="1730" spans="1:4" x14ac:dyDescent="0.25">
      <c r="A1730" t="s">
        <v>12</v>
      </c>
      <c r="B1730" t="s">
        <v>8</v>
      </c>
      <c r="C1730">
        <v>98.055779999999999</v>
      </c>
      <c r="D1730" s="1">
        <v>44927</v>
      </c>
    </row>
    <row r="1731" spans="1:4" x14ac:dyDescent="0.25">
      <c r="A1731" t="s">
        <v>12</v>
      </c>
      <c r="B1731" t="s">
        <v>8</v>
      </c>
      <c r="C1731">
        <v>93.888249999999999</v>
      </c>
      <c r="D1731" s="1">
        <v>44958</v>
      </c>
    </row>
    <row r="1732" spans="1:4" x14ac:dyDescent="0.25">
      <c r="A1732" t="s">
        <v>12</v>
      </c>
      <c r="B1732" t="s">
        <v>8</v>
      </c>
      <c r="C1732">
        <v>100.86185999999999</v>
      </c>
      <c r="D1732" s="1">
        <v>44986</v>
      </c>
    </row>
    <row r="1733" spans="1:4" x14ac:dyDescent="0.25">
      <c r="A1733" t="s">
        <v>12</v>
      </c>
      <c r="B1733" t="s">
        <v>8</v>
      </c>
      <c r="C1733">
        <v>93.319429999999997</v>
      </c>
      <c r="D1733" s="1">
        <v>45017</v>
      </c>
    </row>
    <row r="1734" spans="1:4" x14ac:dyDescent="0.25">
      <c r="A1734" t="s">
        <v>12</v>
      </c>
      <c r="B1734" t="s">
        <v>8</v>
      </c>
      <c r="C1734">
        <v>95.294629999999998</v>
      </c>
      <c r="D1734" s="1">
        <v>45047</v>
      </c>
    </row>
    <row r="1735" spans="1:4" x14ac:dyDescent="0.25">
      <c r="A1735" t="s">
        <v>12</v>
      </c>
      <c r="B1735" t="s">
        <v>8</v>
      </c>
      <c r="C1735">
        <v>104.30584</v>
      </c>
      <c r="D1735" s="1">
        <v>45078</v>
      </c>
    </row>
    <row r="1736" spans="1:4" x14ac:dyDescent="0.25">
      <c r="A1736" t="s">
        <v>12</v>
      </c>
      <c r="B1736" t="s">
        <v>8</v>
      </c>
      <c r="C1736">
        <v>98.611609999999999</v>
      </c>
      <c r="D1736" s="1">
        <v>45108</v>
      </c>
    </row>
    <row r="1737" spans="1:4" x14ac:dyDescent="0.25">
      <c r="A1737" t="s">
        <v>12</v>
      </c>
      <c r="B1737" t="s">
        <v>8</v>
      </c>
      <c r="C1737">
        <v>101.09862</v>
      </c>
      <c r="D1737" s="1">
        <v>45139</v>
      </c>
    </row>
    <row r="1738" spans="1:4" x14ac:dyDescent="0.25">
      <c r="A1738" t="s">
        <v>12</v>
      </c>
      <c r="B1738" t="s">
        <v>8</v>
      </c>
      <c r="C1738">
        <v>101.50778</v>
      </c>
      <c r="D1738" s="1">
        <v>45170</v>
      </c>
    </row>
    <row r="1739" spans="1:4" x14ac:dyDescent="0.25">
      <c r="A1739" t="s">
        <v>12</v>
      </c>
      <c r="B1739" t="s">
        <v>8</v>
      </c>
      <c r="C1739">
        <v>102.70399</v>
      </c>
      <c r="D1739" s="1">
        <v>45200</v>
      </c>
    </row>
    <row r="1740" spans="1:4" x14ac:dyDescent="0.25">
      <c r="A1740" t="s">
        <v>12</v>
      </c>
      <c r="B1740" t="s">
        <v>8</v>
      </c>
      <c r="C1740">
        <v>107.32047</v>
      </c>
      <c r="D1740" s="1">
        <v>45231</v>
      </c>
    </row>
    <row r="1741" spans="1:4" x14ac:dyDescent="0.25">
      <c r="A1741" t="s">
        <v>12</v>
      </c>
      <c r="B1741" t="s">
        <v>8</v>
      </c>
      <c r="C1741">
        <v>119.0322</v>
      </c>
      <c r="D1741" s="1">
        <v>45261</v>
      </c>
    </row>
    <row r="1742" spans="1:4" x14ac:dyDescent="0.25">
      <c r="A1742" t="s">
        <v>12</v>
      </c>
      <c r="B1742" t="s">
        <v>8</v>
      </c>
      <c r="C1742">
        <v>100.25763999999999</v>
      </c>
      <c r="D1742" s="1">
        <v>45292</v>
      </c>
    </row>
    <row r="1743" spans="1:4" x14ac:dyDescent="0.25">
      <c r="A1743" t="s">
        <v>12</v>
      </c>
      <c r="B1743" t="s">
        <v>8</v>
      </c>
      <c r="C1743">
        <v>95.636750000000006</v>
      </c>
      <c r="D1743" s="1">
        <v>45323</v>
      </c>
    </row>
    <row r="1744" spans="1:4" x14ac:dyDescent="0.25">
      <c r="A1744" t="s">
        <v>12</v>
      </c>
      <c r="B1744" t="s">
        <v>8</v>
      </c>
      <c r="C1744">
        <v>105.69256</v>
      </c>
      <c r="D1744" s="1">
        <v>45352</v>
      </c>
    </row>
    <row r="1745" spans="1:4" x14ac:dyDescent="0.25">
      <c r="A1745" t="s">
        <v>12</v>
      </c>
      <c r="B1745" t="s">
        <v>8</v>
      </c>
      <c r="C1745">
        <v>100.99605</v>
      </c>
      <c r="D1745" s="1">
        <v>45383</v>
      </c>
    </row>
    <row r="1746" spans="1:4" x14ac:dyDescent="0.25">
      <c r="A1746" t="s">
        <v>12</v>
      </c>
      <c r="B1746" t="s">
        <v>8</v>
      </c>
      <c r="C1746">
        <v>102.50584000000001</v>
      </c>
      <c r="D1746" s="1">
        <v>45413</v>
      </c>
    </row>
    <row r="1747" spans="1:4" x14ac:dyDescent="0.25">
      <c r="A1747" t="s">
        <v>12</v>
      </c>
      <c r="B1747" t="s">
        <v>8</v>
      </c>
      <c r="C1747">
        <v>107.67151</v>
      </c>
      <c r="D1747" s="1">
        <v>45444</v>
      </c>
    </row>
    <row r="1748" spans="1:4" x14ac:dyDescent="0.25">
      <c r="A1748" t="s">
        <v>12</v>
      </c>
      <c r="B1748" t="s">
        <v>8</v>
      </c>
      <c r="C1748">
        <v>107.82514999999999</v>
      </c>
      <c r="D1748" s="1">
        <v>45474</v>
      </c>
    </row>
    <row r="1749" spans="1:4" x14ac:dyDescent="0.25">
      <c r="A1749" t="s">
        <v>12</v>
      </c>
      <c r="B1749" t="s">
        <v>8</v>
      </c>
      <c r="C1749">
        <v>108.47038000000001</v>
      </c>
      <c r="D1749" s="1">
        <v>45505</v>
      </c>
    </row>
    <row r="1750" spans="1:4" x14ac:dyDescent="0.25">
      <c r="A1750" t="s">
        <v>12</v>
      </c>
      <c r="B1750" t="s">
        <v>8</v>
      </c>
      <c r="C1750">
        <v>111.36199999999999</v>
      </c>
      <c r="D1750" s="1">
        <v>45536</v>
      </c>
    </row>
    <row r="1751" spans="1:4" x14ac:dyDescent="0.25">
      <c r="A1751" t="s">
        <v>12</v>
      </c>
      <c r="B1751" t="s">
        <v>8</v>
      </c>
      <c r="C1751">
        <v>109.85639</v>
      </c>
      <c r="D1751" s="1">
        <v>45566</v>
      </c>
    </row>
    <row r="1752" spans="1:4" x14ac:dyDescent="0.25">
      <c r="A1752" t="s">
        <v>12</v>
      </c>
      <c r="B1752" t="s">
        <v>8</v>
      </c>
      <c r="C1752">
        <v>115.16369</v>
      </c>
      <c r="D1752" s="1">
        <v>45597</v>
      </c>
    </row>
    <row r="1753" spans="1:4" x14ac:dyDescent="0.25">
      <c r="A1753" t="s">
        <v>12</v>
      </c>
      <c r="B1753" t="s">
        <v>8</v>
      </c>
      <c r="C1753">
        <v>125.25423000000001</v>
      </c>
      <c r="D1753" s="1">
        <v>45627</v>
      </c>
    </row>
    <row r="1754" spans="1:4" x14ac:dyDescent="0.25">
      <c r="A1754" t="s">
        <v>12</v>
      </c>
      <c r="B1754" t="s">
        <v>8</v>
      </c>
      <c r="C1754">
        <v>110.69061000000001</v>
      </c>
      <c r="D1754" s="1">
        <v>45658</v>
      </c>
    </row>
    <row r="1755" spans="1:4" x14ac:dyDescent="0.25">
      <c r="A1755" t="s">
        <v>12</v>
      </c>
      <c r="B1755" t="s">
        <v>8</v>
      </c>
      <c r="C1755">
        <v>109.08428000000001</v>
      </c>
      <c r="D1755" s="1">
        <v>45689</v>
      </c>
    </row>
    <row r="1756" spans="1:4" x14ac:dyDescent="0.25">
      <c r="A1756" t="s">
        <v>12</v>
      </c>
      <c r="B1756" t="s">
        <v>8</v>
      </c>
      <c r="C1756">
        <v>113.40873999999999</v>
      </c>
      <c r="D1756" s="1">
        <v>45717</v>
      </c>
    </row>
    <row r="1757" spans="1:4" x14ac:dyDescent="0.25">
      <c r="A1757" t="s">
        <v>12</v>
      </c>
      <c r="B1757" t="s">
        <v>8</v>
      </c>
      <c r="C1757">
        <v>110.65246999999999</v>
      </c>
      <c r="D1757" s="1">
        <v>45748</v>
      </c>
    </row>
    <row r="1758" spans="1:4" x14ac:dyDescent="0.25">
      <c r="A1758" t="s">
        <v>12</v>
      </c>
      <c r="B1758" t="s">
        <v>8</v>
      </c>
      <c r="C1758">
        <v>114.12721000000001</v>
      </c>
      <c r="D1758" s="1">
        <v>45778</v>
      </c>
    </row>
    <row r="1759" spans="1:4" x14ac:dyDescent="0.25">
      <c r="A1759" t="s">
        <v>12</v>
      </c>
      <c r="B1759" t="s">
        <v>8</v>
      </c>
      <c r="C1759">
        <v>116.73813</v>
      </c>
      <c r="D1759" s="1">
        <v>45809</v>
      </c>
    </row>
    <row r="1760" spans="1:4" x14ac:dyDescent="0.25">
      <c r="A1760" t="s">
        <v>12</v>
      </c>
      <c r="B1760" t="s">
        <v>8</v>
      </c>
      <c r="C1760">
        <v>120.27647</v>
      </c>
      <c r="D1760" s="1">
        <v>45839</v>
      </c>
    </row>
    <row r="1761" spans="1:4" x14ac:dyDescent="0.25">
      <c r="A1761" t="s">
        <v>12</v>
      </c>
      <c r="B1761" t="s">
        <v>8</v>
      </c>
      <c r="C1761">
        <v>116.81923999999999</v>
      </c>
      <c r="D1761" s="1">
        <v>45870</v>
      </c>
    </row>
    <row r="1762" spans="1:4" x14ac:dyDescent="0.25">
      <c r="A1762" t="s">
        <v>12</v>
      </c>
      <c r="B1762" t="s">
        <v>7</v>
      </c>
      <c r="C1762">
        <v>109.92169</v>
      </c>
      <c r="D1762" s="1">
        <v>40544</v>
      </c>
    </row>
    <row r="1763" spans="1:4" x14ac:dyDescent="0.25">
      <c r="A1763" t="s">
        <v>12</v>
      </c>
      <c r="B1763" t="s">
        <v>7</v>
      </c>
      <c r="C1763">
        <v>100.34298</v>
      </c>
      <c r="D1763" s="1">
        <v>40575</v>
      </c>
    </row>
    <row r="1764" spans="1:4" x14ac:dyDescent="0.25">
      <c r="A1764" t="s">
        <v>12</v>
      </c>
      <c r="B1764" t="s">
        <v>7</v>
      </c>
      <c r="C1764">
        <v>109.09392</v>
      </c>
      <c r="D1764" s="1">
        <v>40603</v>
      </c>
    </row>
    <row r="1765" spans="1:4" x14ac:dyDescent="0.25">
      <c r="A1765" t="s">
        <v>12</v>
      </c>
      <c r="B1765" t="s">
        <v>7</v>
      </c>
      <c r="C1765">
        <v>113.59986000000001</v>
      </c>
      <c r="D1765" s="1">
        <v>40634</v>
      </c>
    </row>
    <row r="1766" spans="1:4" x14ac:dyDescent="0.25">
      <c r="A1766" t="s">
        <v>12</v>
      </c>
      <c r="B1766" t="s">
        <v>7</v>
      </c>
      <c r="C1766">
        <v>105.73511999999999</v>
      </c>
      <c r="D1766" s="1">
        <v>40664</v>
      </c>
    </row>
    <row r="1767" spans="1:4" x14ac:dyDescent="0.25">
      <c r="A1767" t="s">
        <v>12</v>
      </c>
      <c r="B1767" t="s">
        <v>7</v>
      </c>
      <c r="C1767">
        <v>107.33459000000001</v>
      </c>
      <c r="D1767" s="1">
        <v>40695</v>
      </c>
    </row>
    <row r="1768" spans="1:4" x14ac:dyDescent="0.25">
      <c r="A1768" t="s">
        <v>12</v>
      </c>
      <c r="B1768" t="s">
        <v>7</v>
      </c>
      <c r="C1768">
        <v>112.25189</v>
      </c>
      <c r="D1768" s="1">
        <v>40725</v>
      </c>
    </row>
    <row r="1769" spans="1:4" x14ac:dyDescent="0.25">
      <c r="A1769" t="s">
        <v>12</v>
      </c>
      <c r="B1769" t="s">
        <v>7</v>
      </c>
      <c r="C1769">
        <v>111.43917</v>
      </c>
      <c r="D1769" s="1">
        <v>40756</v>
      </c>
    </row>
    <row r="1770" spans="1:4" x14ac:dyDescent="0.25">
      <c r="A1770" t="s">
        <v>12</v>
      </c>
      <c r="B1770" t="s">
        <v>7</v>
      </c>
      <c r="C1770">
        <v>107.85723</v>
      </c>
      <c r="D1770" s="1">
        <v>40787</v>
      </c>
    </row>
    <row r="1771" spans="1:4" x14ac:dyDescent="0.25">
      <c r="A1771" t="s">
        <v>12</v>
      </c>
      <c r="B1771" t="s">
        <v>7</v>
      </c>
      <c r="C1771">
        <v>116.79069</v>
      </c>
      <c r="D1771" s="1">
        <v>40817</v>
      </c>
    </row>
    <row r="1772" spans="1:4" x14ac:dyDescent="0.25">
      <c r="A1772" t="s">
        <v>12</v>
      </c>
      <c r="B1772" t="s">
        <v>7</v>
      </c>
      <c r="C1772">
        <v>121.44613</v>
      </c>
      <c r="D1772" s="1">
        <v>40848</v>
      </c>
    </row>
    <row r="1773" spans="1:4" x14ac:dyDescent="0.25">
      <c r="A1773" t="s">
        <v>12</v>
      </c>
      <c r="B1773" t="s">
        <v>7</v>
      </c>
      <c r="C1773">
        <v>127.57253</v>
      </c>
      <c r="D1773" s="1">
        <v>40878</v>
      </c>
    </row>
    <row r="1774" spans="1:4" x14ac:dyDescent="0.25">
      <c r="A1774" t="s">
        <v>12</v>
      </c>
      <c r="B1774" t="s">
        <v>7</v>
      </c>
      <c r="C1774">
        <v>115.98556000000001</v>
      </c>
      <c r="D1774" s="1">
        <v>40909</v>
      </c>
    </row>
    <row r="1775" spans="1:4" x14ac:dyDescent="0.25">
      <c r="A1775" t="s">
        <v>12</v>
      </c>
      <c r="B1775" t="s">
        <v>7</v>
      </c>
      <c r="C1775">
        <v>102.67019999999999</v>
      </c>
      <c r="D1775" s="1">
        <v>40940</v>
      </c>
    </row>
    <row r="1776" spans="1:4" x14ac:dyDescent="0.25">
      <c r="A1776" t="s">
        <v>12</v>
      </c>
      <c r="B1776" t="s">
        <v>7</v>
      </c>
      <c r="C1776">
        <v>111.1194</v>
      </c>
      <c r="D1776" s="1">
        <v>40969</v>
      </c>
    </row>
    <row r="1777" spans="1:4" x14ac:dyDescent="0.25">
      <c r="A1777" t="s">
        <v>12</v>
      </c>
      <c r="B1777" t="s">
        <v>7</v>
      </c>
      <c r="C1777">
        <v>103.57388</v>
      </c>
      <c r="D1777" s="1">
        <v>41000</v>
      </c>
    </row>
    <row r="1778" spans="1:4" x14ac:dyDescent="0.25">
      <c r="A1778" t="s">
        <v>12</v>
      </c>
      <c r="B1778" t="s">
        <v>7</v>
      </c>
      <c r="C1778">
        <v>106.68899</v>
      </c>
      <c r="D1778" s="1">
        <v>41030</v>
      </c>
    </row>
    <row r="1779" spans="1:4" x14ac:dyDescent="0.25">
      <c r="A1779" t="s">
        <v>12</v>
      </c>
      <c r="B1779" t="s">
        <v>7</v>
      </c>
      <c r="C1779">
        <v>103.304</v>
      </c>
      <c r="D1779" s="1">
        <v>41061</v>
      </c>
    </row>
    <row r="1780" spans="1:4" x14ac:dyDescent="0.25">
      <c r="A1780" t="s">
        <v>12</v>
      </c>
      <c r="B1780" t="s">
        <v>7</v>
      </c>
      <c r="C1780">
        <v>102.86005</v>
      </c>
      <c r="D1780" s="1">
        <v>41091</v>
      </c>
    </row>
    <row r="1781" spans="1:4" x14ac:dyDescent="0.25">
      <c r="A1781" t="s">
        <v>12</v>
      </c>
      <c r="B1781" t="s">
        <v>7</v>
      </c>
      <c r="C1781">
        <v>114.95511</v>
      </c>
      <c r="D1781" s="1">
        <v>41122</v>
      </c>
    </row>
    <row r="1782" spans="1:4" x14ac:dyDescent="0.25">
      <c r="A1782" t="s">
        <v>12</v>
      </c>
      <c r="B1782" t="s">
        <v>7</v>
      </c>
      <c r="C1782">
        <v>112.56274000000001</v>
      </c>
      <c r="D1782" s="1">
        <v>41153</v>
      </c>
    </row>
    <row r="1783" spans="1:4" x14ac:dyDescent="0.25">
      <c r="A1783" t="s">
        <v>12</v>
      </c>
      <c r="B1783" t="s">
        <v>7</v>
      </c>
      <c r="C1783">
        <v>113.69004</v>
      </c>
      <c r="D1783" s="1">
        <v>41183</v>
      </c>
    </row>
    <row r="1784" spans="1:4" x14ac:dyDescent="0.25">
      <c r="A1784" t="s">
        <v>12</v>
      </c>
      <c r="B1784" t="s">
        <v>7</v>
      </c>
      <c r="C1784">
        <v>118.53708</v>
      </c>
      <c r="D1784" s="1">
        <v>41214</v>
      </c>
    </row>
    <row r="1785" spans="1:4" x14ac:dyDescent="0.25">
      <c r="A1785" t="s">
        <v>12</v>
      </c>
      <c r="B1785" t="s">
        <v>7</v>
      </c>
      <c r="C1785">
        <v>129.12594999999999</v>
      </c>
      <c r="D1785" s="1">
        <v>41244</v>
      </c>
    </row>
    <row r="1786" spans="1:4" x14ac:dyDescent="0.25">
      <c r="A1786" t="s">
        <v>12</v>
      </c>
      <c r="B1786" t="s">
        <v>7</v>
      </c>
      <c r="C1786">
        <v>115.41646</v>
      </c>
      <c r="D1786" s="1">
        <v>41275</v>
      </c>
    </row>
    <row r="1787" spans="1:4" x14ac:dyDescent="0.25">
      <c r="A1787" t="s">
        <v>12</v>
      </c>
      <c r="B1787" t="s">
        <v>7</v>
      </c>
      <c r="C1787">
        <v>101.38957000000001</v>
      </c>
      <c r="D1787" s="1">
        <v>41306</v>
      </c>
    </row>
    <row r="1788" spans="1:4" x14ac:dyDescent="0.25">
      <c r="A1788" t="s">
        <v>12</v>
      </c>
      <c r="B1788" t="s">
        <v>7</v>
      </c>
      <c r="C1788">
        <v>114.90721000000001</v>
      </c>
      <c r="D1788" s="1">
        <v>41334</v>
      </c>
    </row>
    <row r="1789" spans="1:4" x14ac:dyDescent="0.25">
      <c r="A1789" t="s">
        <v>12</v>
      </c>
      <c r="B1789" t="s">
        <v>7</v>
      </c>
      <c r="C1789">
        <v>111.74124999999999</v>
      </c>
      <c r="D1789" s="1">
        <v>41365</v>
      </c>
    </row>
    <row r="1790" spans="1:4" x14ac:dyDescent="0.25">
      <c r="A1790" t="s">
        <v>12</v>
      </c>
      <c r="B1790" t="s">
        <v>7</v>
      </c>
      <c r="C1790">
        <v>110.42852000000001</v>
      </c>
      <c r="D1790" s="1">
        <v>41395</v>
      </c>
    </row>
    <row r="1791" spans="1:4" x14ac:dyDescent="0.25">
      <c r="A1791" t="s">
        <v>12</v>
      </c>
      <c r="B1791" t="s">
        <v>7</v>
      </c>
      <c r="C1791">
        <v>108.24182</v>
      </c>
      <c r="D1791" s="1">
        <v>41426</v>
      </c>
    </row>
    <row r="1792" spans="1:4" x14ac:dyDescent="0.25">
      <c r="A1792" t="s">
        <v>12</v>
      </c>
      <c r="B1792" t="s">
        <v>7</v>
      </c>
      <c r="C1792">
        <v>112.74539</v>
      </c>
      <c r="D1792" s="1">
        <v>41456</v>
      </c>
    </row>
    <row r="1793" spans="1:4" x14ac:dyDescent="0.25">
      <c r="A1793" t="s">
        <v>12</v>
      </c>
      <c r="B1793" t="s">
        <v>7</v>
      </c>
      <c r="C1793">
        <v>114.58732000000001</v>
      </c>
      <c r="D1793" s="1">
        <v>41487</v>
      </c>
    </row>
    <row r="1794" spans="1:4" x14ac:dyDescent="0.25">
      <c r="A1794" t="s">
        <v>12</v>
      </c>
      <c r="B1794" t="s">
        <v>7</v>
      </c>
      <c r="C1794">
        <v>110.27936</v>
      </c>
      <c r="D1794" s="1">
        <v>41518</v>
      </c>
    </row>
    <row r="1795" spans="1:4" x14ac:dyDescent="0.25">
      <c r="A1795" t="s">
        <v>12</v>
      </c>
      <c r="B1795" t="s">
        <v>7</v>
      </c>
      <c r="C1795">
        <v>116.21944000000001</v>
      </c>
      <c r="D1795" s="1">
        <v>41548</v>
      </c>
    </row>
    <row r="1796" spans="1:4" x14ac:dyDescent="0.25">
      <c r="A1796" t="s">
        <v>12</v>
      </c>
      <c r="B1796" t="s">
        <v>7</v>
      </c>
      <c r="C1796">
        <v>121.62504</v>
      </c>
      <c r="D1796" s="1">
        <v>41579</v>
      </c>
    </row>
    <row r="1797" spans="1:4" x14ac:dyDescent="0.25">
      <c r="A1797" t="s">
        <v>12</v>
      </c>
      <c r="B1797" t="s">
        <v>7</v>
      </c>
      <c r="C1797">
        <v>130.17196000000001</v>
      </c>
      <c r="D1797" s="1">
        <v>41609</v>
      </c>
    </row>
    <row r="1798" spans="1:4" x14ac:dyDescent="0.25">
      <c r="A1798" t="s">
        <v>12</v>
      </c>
      <c r="B1798" t="s">
        <v>7</v>
      </c>
      <c r="C1798">
        <v>127.18552</v>
      </c>
      <c r="D1798" s="1">
        <v>41640</v>
      </c>
    </row>
    <row r="1799" spans="1:4" x14ac:dyDescent="0.25">
      <c r="A1799" t="s">
        <v>12</v>
      </c>
      <c r="B1799" t="s">
        <v>7</v>
      </c>
      <c r="C1799">
        <v>107.95386000000001</v>
      </c>
      <c r="D1799" s="1">
        <v>41671</v>
      </c>
    </row>
    <row r="1800" spans="1:4" x14ac:dyDescent="0.25">
      <c r="A1800" t="s">
        <v>12</v>
      </c>
      <c r="B1800" t="s">
        <v>7</v>
      </c>
      <c r="C1800">
        <v>113.15133</v>
      </c>
      <c r="D1800" s="1">
        <v>41699</v>
      </c>
    </row>
    <row r="1801" spans="1:4" x14ac:dyDescent="0.25">
      <c r="A1801" t="s">
        <v>12</v>
      </c>
      <c r="B1801" t="s">
        <v>7</v>
      </c>
      <c r="C1801">
        <v>108.42013</v>
      </c>
      <c r="D1801" s="1">
        <v>41730</v>
      </c>
    </row>
    <row r="1802" spans="1:4" x14ac:dyDescent="0.25">
      <c r="A1802" t="s">
        <v>12</v>
      </c>
      <c r="B1802" t="s">
        <v>7</v>
      </c>
      <c r="C1802">
        <v>107.77912999999999</v>
      </c>
      <c r="D1802" s="1">
        <v>41760</v>
      </c>
    </row>
    <row r="1803" spans="1:4" x14ac:dyDescent="0.25">
      <c r="A1803" t="s">
        <v>12</v>
      </c>
      <c r="B1803" t="s">
        <v>7</v>
      </c>
      <c r="C1803">
        <v>98.514269999999996</v>
      </c>
      <c r="D1803" s="1">
        <v>41791</v>
      </c>
    </row>
    <row r="1804" spans="1:4" x14ac:dyDescent="0.25">
      <c r="A1804" t="s">
        <v>12</v>
      </c>
      <c r="B1804" t="s">
        <v>7</v>
      </c>
      <c r="C1804">
        <v>100.58991</v>
      </c>
      <c r="D1804" s="1">
        <v>41821</v>
      </c>
    </row>
    <row r="1805" spans="1:4" x14ac:dyDescent="0.25">
      <c r="A1805" t="s">
        <v>12</v>
      </c>
      <c r="B1805" t="s">
        <v>7</v>
      </c>
      <c r="C1805">
        <v>112.63137999999999</v>
      </c>
      <c r="D1805" s="1">
        <v>41852</v>
      </c>
    </row>
    <row r="1806" spans="1:4" x14ac:dyDescent="0.25">
      <c r="A1806" t="s">
        <v>12</v>
      </c>
      <c r="B1806" t="s">
        <v>7</v>
      </c>
      <c r="C1806">
        <v>105.87933</v>
      </c>
      <c r="D1806" s="1">
        <v>41883</v>
      </c>
    </row>
    <row r="1807" spans="1:4" x14ac:dyDescent="0.25">
      <c r="A1807" t="s">
        <v>12</v>
      </c>
      <c r="B1807" t="s">
        <v>7</v>
      </c>
      <c r="C1807">
        <v>115.03673000000001</v>
      </c>
      <c r="D1807" s="1">
        <v>41913</v>
      </c>
    </row>
    <row r="1808" spans="1:4" x14ac:dyDescent="0.25">
      <c r="A1808" t="s">
        <v>12</v>
      </c>
      <c r="B1808" t="s">
        <v>7</v>
      </c>
      <c r="C1808">
        <v>111.57043</v>
      </c>
      <c r="D1808" s="1">
        <v>41944</v>
      </c>
    </row>
    <row r="1809" spans="1:4" x14ac:dyDescent="0.25">
      <c r="A1809" t="s">
        <v>12</v>
      </c>
      <c r="B1809" t="s">
        <v>7</v>
      </c>
      <c r="C1809">
        <v>132.37721999999999</v>
      </c>
      <c r="D1809" s="1">
        <v>41974</v>
      </c>
    </row>
    <row r="1810" spans="1:4" x14ac:dyDescent="0.25">
      <c r="A1810" t="s">
        <v>12</v>
      </c>
      <c r="B1810" t="s">
        <v>7</v>
      </c>
      <c r="C1810">
        <v>124.73737</v>
      </c>
      <c r="D1810" s="1">
        <v>42005</v>
      </c>
    </row>
    <row r="1811" spans="1:4" x14ac:dyDescent="0.25">
      <c r="A1811" t="s">
        <v>12</v>
      </c>
      <c r="B1811" t="s">
        <v>7</v>
      </c>
      <c r="C1811">
        <v>107.2025</v>
      </c>
      <c r="D1811" s="1">
        <v>42036</v>
      </c>
    </row>
    <row r="1812" spans="1:4" x14ac:dyDescent="0.25">
      <c r="A1812" t="s">
        <v>12</v>
      </c>
      <c r="B1812" t="s">
        <v>7</v>
      </c>
      <c r="C1812">
        <v>111.30195999999999</v>
      </c>
      <c r="D1812" s="1">
        <v>42064</v>
      </c>
    </row>
    <row r="1813" spans="1:4" x14ac:dyDescent="0.25">
      <c r="A1813" t="s">
        <v>12</v>
      </c>
      <c r="B1813" t="s">
        <v>7</v>
      </c>
      <c r="C1813">
        <v>104.39173</v>
      </c>
      <c r="D1813" s="1">
        <v>42095</v>
      </c>
    </row>
    <row r="1814" spans="1:4" x14ac:dyDescent="0.25">
      <c r="A1814" t="s">
        <v>12</v>
      </c>
      <c r="B1814" t="s">
        <v>7</v>
      </c>
      <c r="C1814">
        <v>99.997470000000007</v>
      </c>
      <c r="D1814" s="1">
        <v>42125</v>
      </c>
    </row>
    <row r="1815" spans="1:4" x14ac:dyDescent="0.25">
      <c r="A1815" t="s">
        <v>12</v>
      </c>
      <c r="B1815" t="s">
        <v>7</v>
      </c>
      <c r="C1815">
        <v>102.54116</v>
      </c>
      <c r="D1815" s="1">
        <v>42156</v>
      </c>
    </row>
    <row r="1816" spans="1:4" x14ac:dyDescent="0.25">
      <c r="A1816" t="s">
        <v>12</v>
      </c>
      <c r="B1816" t="s">
        <v>7</v>
      </c>
      <c r="C1816">
        <v>98.994010000000003</v>
      </c>
      <c r="D1816" s="1">
        <v>42186</v>
      </c>
    </row>
    <row r="1817" spans="1:4" x14ac:dyDescent="0.25">
      <c r="A1817" t="s">
        <v>12</v>
      </c>
      <c r="B1817" t="s">
        <v>7</v>
      </c>
      <c r="C1817">
        <v>104.69969</v>
      </c>
      <c r="D1817" s="1">
        <v>42217</v>
      </c>
    </row>
    <row r="1818" spans="1:4" x14ac:dyDescent="0.25">
      <c r="A1818" t="s">
        <v>12</v>
      </c>
      <c r="B1818" t="s">
        <v>7</v>
      </c>
      <c r="C1818">
        <v>99.45993</v>
      </c>
      <c r="D1818" s="1">
        <v>42248</v>
      </c>
    </row>
    <row r="1819" spans="1:4" x14ac:dyDescent="0.25">
      <c r="A1819" t="s">
        <v>12</v>
      </c>
      <c r="B1819" t="s">
        <v>7</v>
      </c>
      <c r="C1819">
        <v>111.35656</v>
      </c>
      <c r="D1819" s="1">
        <v>42278</v>
      </c>
    </row>
    <row r="1820" spans="1:4" x14ac:dyDescent="0.25">
      <c r="A1820" t="s">
        <v>12</v>
      </c>
      <c r="B1820" t="s">
        <v>7</v>
      </c>
      <c r="C1820">
        <v>105.73394999999999</v>
      </c>
      <c r="D1820" s="1">
        <v>42309</v>
      </c>
    </row>
    <row r="1821" spans="1:4" x14ac:dyDescent="0.25">
      <c r="A1821" t="s">
        <v>12</v>
      </c>
      <c r="B1821" t="s">
        <v>7</v>
      </c>
      <c r="C1821">
        <v>123.97611000000001</v>
      </c>
      <c r="D1821" s="1">
        <v>42339</v>
      </c>
    </row>
    <row r="1822" spans="1:4" x14ac:dyDescent="0.25">
      <c r="A1822" t="s">
        <v>12</v>
      </c>
      <c r="B1822" t="s">
        <v>7</v>
      </c>
      <c r="C1822">
        <v>120.42474</v>
      </c>
      <c r="D1822" s="1">
        <v>42370</v>
      </c>
    </row>
    <row r="1823" spans="1:4" x14ac:dyDescent="0.25">
      <c r="A1823" t="s">
        <v>12</v>
      </c>
      <c r="B1823" t="s">
        <v>7</v>
      </c>
      <c r="C1823">
        <v>104.49481</v>
      </c>
      <c r="D1823" s="1">
        <v>42401</v>
      </c>
    </row>
    <row r="1824" spans="1:4" x14ac:dyDescent="0.25">
      <c r="A1824" t="s">
        <v>12</v>
      </c>
      <c r="B1824" t="s">
        <v>7</v>
      </c>
      <c r="C1824">
        <v>107.06858</v>
      </c>
      <c r="D1824" s="1">
        <v>42430</v>
      </c>
    </row>
    <row r="1825" spans="1:4" x14ac:dyDescent="0.25">
      <c r="A1825" t="s">
        <v>12</v>
      </c>
      <c r="B1825" t="s">
        <v>7</v>
      </c>
      <c r="C1825">
        <v>104.81456</v>
      </c>
      <c r="D1825" s="1">
        <v>42461</v>
      </c>
    </row>
    <row r="1826" spans="1:4" x14ac:dyDescent="0.25">
      <c r="A1826" t="s">
        <v>12</v>
      </c>
      <c r="B1826" t="s">
        <v>7</v>
      </c>
      <c r="C1826">
        <v>94.381169999999997</v>
      </c>
      <c r="D1826" s="1">
        <v>42491</v>
      </c>
    </row>
    <row r="1827" spans="1:4" x14ac:dyDescent="0.25">
      <c r="A1827" t="s">
        <v>12</v>
      </c>
      <c r="B1827" t="s">
        <v>7</v>
      </c>
      <c r="C1827">
        <v>93.890739999999994</v>
      </c>
      <c r="D1827" s="1">
        <v>42522</v>
      </c>
    </row>
    <row r="1828" spans="1:4" x14ac:dyDescent="0.25">
      <c r="A1828" t="s">
        <v>12</v>
      </c>
      <c r="B1828" t="s">
        <v>7</v>
      </c>
      <c r="C1828">
        <v>100.78815</v>
      </c>
      <c r="D1828" s="1">
        <v>42552</v>
      </c>
    </row>
    <row r="1829" spans="1:4" x14ac:dyDescent="0.25">
      <c r="A1829" t="s">
        <v>12</v>
      </c>
      <c r="B1829" t="s">
        <v>7</v>
      </c>
      <c r="C1829">
        <v>96.024780000000007</v>
      </c>
      <c r="D1829" s="1">
        <v>42583</v>
      </c>
    </row>
    <row r="1830" spans="1:4" x14ac:dyDescent="0.25">
      <c r="A1830" t="s">
        <v>12</v>
      </c>
      <c r="B1830" t="s">
        <v>7</v>
      </c>
      <c r="C1830">
        <v>96.57723</v>
      </c>
      <c r="D1830" s="1">
        <v>42614</v>
      </c>
    </row>
    <row r="1831" spans="1:4" x14ac:dyDescent="0.25">
      <c r="A1831" t="s">
        <v>12</v>
      </c>
      <c r="B1831" t="s">
        <v>7</v>
      </c>
      <c r="C1831">
        <v>107.1613</v>
      </c>
      <c r="D1831" s="1">
        <v>42644</v>
      </c>
    </row>
    <row r="1832" spans="1:4" x14ac:dyDescent="0.25">
      <c r="A1832" t="s">
        <v>12</v>
      </c>
      <c r="B1832" t="s">
        <v>7</v>
      </c>
      <c r="C1832">
        <v>102.68225</v>
      </c>
      <c r="D1832" s="1">
        <v>42675</v>
      </c>
    </row>
    <row r="1833" spans="1:4" x14ac:dyDescent="0.25">
      <c r="A1833" t="s">
        <v>12</v>
      </c>
      <c r="B1833" t="s">
        <v>7</v>
      </c>
      <c r="C1833">
        <v>126.64639</v>
      </c>
      <c r="D1833" s="1">
        <v>42705</v>
      </c>
    </row>
    <row r="1834" spans="1:4" x14ac:dyDescent="0.25">
      <c r="A1834" t="s">
        <v>12</v>
      </c>
      <c r="B1834" t="s">
        <v>7</v>
      </c>
      <c r="C1834">
        <v>101.08761</v>
      </c>
      <c r="D1834" s="1">
        <v>42736</v>
      </c>
    </row>
    <row r="1835" spans="1:4" x14ac:dyDescent="0.25">
      <c r="A1835" t="s">
        <v>12</v>
      </c>
      <c r="B1835" t="s">
        <v>7</v>
      </c>
      <c r="C1835">
        <v>88.897639999999996</v>
      </c>
      <c r="D1835" s="1">
        <v>42767</v>
      </c>
    </row>
    <row r="1836" spans="1:4" x14ac:dyDescent="0.25">
      <c r="A1836" t="s">
        <v>12</v>
      </c>
      <c r="B1836" t="s">
        <v>7</v>
      </c>
      <c r="C1836">
        <v>97.677419999999998</v>
      </c>
      <c r="D1836" s="1">
        <v>42795</v>
      </c>
    </row>
    <row r="1837" spans="1:4" x14ac:dyDescent="0.25">
      <c r="A1837" t="s">
        <v>12</v>
      </c>
      <c r="B1837" t="s">
        <v>7</v>
      </c>
      <c r="C1837">
        <v>96.546149999999997</v>
      </c>
      <c r="D1837" s="1">
        <v>42826</v>
      </c>
    </row>
    <row r="1838" spans="1:4" x14ac:dyDescent="0.25">
      <c r="A1838" t="s">
        <v>12</v>
      </c>
      <c r="B1838" t="s">
        <v>7</v>
      </c>
      <c r="C1838">
        <v>100.221</v>
      </c>
      <c r="D1838" s="1">
        <v>42856</v>
      </c>
    </row>
    <row r="1839" spans="1:4" x14ac:dyDescent="0.25">
      <c r="A1839" t="s">
        <v>12</v>
      </c>
      <c r="B1839" t="s">
        <v>7</v>
      </c>
      <c r="C1839">
        <v>102.02325999999999</v>
      </c>
      <c r="D1839" s="1">
        <v>42887</v>
      </c>
    </row>
    <row r="1840" spans="1:4" x14ac:dyDescent="0.25">
      <c r="A1840" t="s">
        <v>12</v>
      </c>
      <c r="B1840" t="s">
        <v>7</v>
      </c>
      <c r="C1840">
        <v>103.49514000000001</v>
      </c>
      <c r="D1840" s="1">
        <v>42917</v>
      </c>
    </row>
    <row r="1841" spans="1:4" x14ac:dyDescent="0.25">
      <c r="A1841" t="s">
        <v>12</v>
      </c>
      <c r="B1841" t="s">
        <v>7</v>
      </c>
      <c r="C1841">
        <v>96.256129999999999</v>
      </c>
      <c r="D1841" s="1">
        <v>42948</v>
      </c>
    </row>
    <row r="1842" spans="1:4" x14ac:dyDescent="0.25">
      <c r="A1842" t="s">
        <v>12</v>
      </c>
      <c r="B1842" t="s">
        <v>7</v>
      </c>
      <c r="C1842">
        <v>103.3442</v>
      </c>
      <c r="D1842" s="1">
        <v>42979</v>
      </c>
    </row>
    <row r="1843" spans="1:4" x14ac:dyDescent="0.25">
      <c r="A1843" t="s">
        <v>12</v>
      </c>
      <c r="B1843" t="s">
        <v>7</v>
      </c>
      <c r="C1843">
        <v>103.23519</v>
      </c>
      <c r="D1843" s="1">
        <v>43009</v>
      </c>
    </row>
    <row r="1844" spans="1:4" x14ac:dyDescent="0.25">
      <c r="A1844" t="s">
        <v>12</v>
      </c>
      <c r="B1844" t="s">
        <v>7</v>
      </c>
      <c r="C1844">
        <v>102.03701</v>
      </c>
      <c r="D1844" s="1">
        <v>43040</v>
      </c>
    </row>
    <row r="1845" spans="1:4" x14ac:dyDescent="0.25">
      <c r="A1845" t="s">
        <v>12</v>
      </c>
      <c r="B1845" t="s">
        <v>7</v>
      </c>
      <c r="C1845">
        <v>109.57808</v>
      </c>
      <c r="D1845" s="1">
        <v>43070</v>
      </c>
    </row>
    <row r="1846" spans="1:4" x14ac:dyDescent="0.25">
      <c r="A1846" t="s">
        <v>12</v>
      </c>
      <c r="B1846" t="s">
        <v>7</v>
      </c>
      <c r="C1846">
        <v>95.096590000000006</v>
      </c>
      <c r="D1846" s="1">
        <v>43101</v>
      </c>
    </row>
    <row r="1847" spans="1:4" x14ac:dyDescent="0.25">
      <c r="A1847" t="s">
        <v>12</v>
      </c>
      <c r="B1847" t="s">
        <v>7</v>
      </c>
      <c r="C1847">
        <v>84.768339999999995</v>
      </c>
      <c r="D1847" s="1">
        <v>43132</v>
      </c>
    </row>
    <row r="1848" spans="1:4" x14ac:dyDescent="0.25">
      <c r="A1848" t="s">
        <v>12</v>
      </c>
      <c r="B1848" t="s">
        <v>7</v>
      </c>
      <c r="C1848">
        <v>104.63634999999999</v>
      </c>
      <c r="D1848" s="1">
        <v>43160</v>
      </c>
    </row>
    <row r="1849" spans="1:4" x14ac:dyDescent="0.25">
      <c r="A1849" t="s">
        <v>12</v>
      </c>
      <c r="B1849" t="s">
        <v>7</v>
      </c>
      <c r="C1849">
        <v>100.36566999999999</v>
      </c>
      <c r="D1849" s="1">
        <v>43191</v>
      </c>
    </row>
    <row r="1850" spans="1:4" x14ac:dyDescent="0.25">
      <c r="A1850" t="s">
        <v>12</v>
      </c>
      <c r="B1850" t="s">
        <v>7</v>
      </c>
      <c r="C1850">
        <v>96.490279999999998</v>
      </c>
      <c r="D1850" s="1">
        <v>43221</v>
      </c>
    </row>
    <row r="1851" spans="1:4" x14ac:dyDescent="0.25">
      <c r="A1851" t="s">
        <v>12</v>
      </c>
      <c r="B1851" t="s">
        <v>7</v>
      </c>
      <c r="C1851">
        <v>99.597560000000001</v>
      </c>
      <c r="D1851" s="1">
        <v>43252</v>
      </c>
    </row>
    <row r="1852" spans="1:4" x14ac:dyDescent="0.25">
      <c r="A1852" t="s">
        <v>12</v>
      </c>
      <c r="B1852" t="s">
        <v>7</v>
      </c>
      <c r="C1852">
        <v>105.58719000000001</v>
      </c>
      <c r="D1852" s="1">
        <v>43282</v>
      </c>
    </row>
    <row r="1853" spans="1:4" x14ac:dyDescent="0.25">
      <c r="A1853" t="s">
        <v>12</v>
      </c>
      <c r="B1853" t="s">
        <v>7</v>
      </c>
      <c r="C1853">
        <v>102.97154</v>
      </c>
      <c r="D1853" s="1">
        <v>43313</v>
      </c>
    </row>
    <row r="1854" spans="1:4" x14ac:dyDescent="0.25">
      <c r="A1854" t="s">
        <v>12</v>
      </c>
      <c r="B1854" t="s">
        <v>7</v>
      </c>
      <c r="C1854">
        <v>104.75951000000001</v>
      </c>
      <c r="D1854" s="1">
        <v>43344</v>
      </c>
    </row>
    <row r="1855" spans="1:4" x14ac:dyDescent="0.25">
      <c r="A1855" t="s">
        <v>12</v>
      </c>
      <c r="B1855" t="s">
        <v>7</v>
      </c>
      <c r="C1855">
        <v>109.13215</v>
      </c>
      <c r="D1855" s="1">
        <v>43374</v>
      </c>
    </row>
    <row r="1856" spans="1:4" x14ac:dyDescent="0.25">
      <c r="A1856" t="s">
        <v>12</v>
      </c>
      <c r="B1856" t="s">
        <v>7</v>
      </c>
      <c r="C1856">
        <v>106.96955</v>
      </c>
      <c r="D1856" s="1">
        <v>43405</v>
      </c>
    </row>
    <row r="1857" spans="1:4" x14ac:dyDescent="0.25">
      <c r="A1857" t="s">
        <v>12</v>
      </c>
      <c r="B1857" t="s">
        <v>7</v>
      </c>
      <c r="C1857">
        <v>114.98465</v>
      </c>
      <c r="D1857" s="1">
        <v>43435</v>
      </c>
    </row>
    <row r="1858" spans="1:4" x14ac:dyDescent="0.25">
      <c r="A1858" t="s">
        <v>12</v>
      </c>
      <c r="B1858" t="s">
        <v>7</v>
      </c>
      <c r="C1858">
        <v>107.93921</v>
      </c>
      <c r="D1858" s="1">
        <v>43466</v>
      </c>
    </row>
    <row r="1859" spans="1:4" x14ac:dyDescent="0.25">
      <c r="A1859" t="s">
        <v>12</v>
      </c>
      <c r="B1859" t="s">
        <v>7</v>
      </c>
      <c r="C1859">
        <v>98.479550000000003</v>
      </c>
      <c r="D1859" s="1">
        <v>43497</v>
      </c>
    </row>
    <row r="1860" spans="1:4" x14ac:dyDescent="0.25">
      <c r="A1860" t="s">
        <v>12</v>
      </c>
      <c r="B1860" t="s">
        <v>7</v>
      </c>
      <c r="C1860">
        <v>108.30127</v>
      </c>
      <c r="D1860" s="1">
        <v>43525</v>
      </c>
    </row>
    <row r="1861" spans="1:4" x14ac:dyDescent="0.25">
      <c r="A1861" t="s">
        <v>12</v>
      </c>
      <c r="B1861" t="s">
        <v>7</v>
      </c>
      <c r="C1861">
        <v>109.70997</v>
      </c>
      <c r="D1861" s="1">
        <v>43556</v>
      </c>
    </row>
    <row r="1862" spans="1:4" x14ac:dyDescent="0.25">
      <c r="A1862" t="s">
        <v>12</v>
      </c>
      <c r="B1862" t="s">
        <v>7</v>
      </c>
      <c r="C1862">
        <v>108.27437999999999</v>
      </c>
      <c r="D1862" s="1">
        <v>43586</v>
      </c>
    </row>
    <row r="1863" spans="1:4" x14ac:dyDescent="0.25">
      <c r="A1863" t="s">
        <v>12</v>
      </c>
      <c r="B1863" t="s">
        <v>7</v>
      </c>
      <c r="C1863">
        <v>104.86418</v>
      </c>
      <c r="D1863" s="1">
        <v>43617</v>
      </c>
    </row>
    <row r="1864" spans="1:4" x14ac:dyDescent="0.25">
      <c r="A1864" t="s">
        <v>12</v>
      </c>
      <c r="B1864" t="s">
        <v>7</v>
      </c>
      <c r="C1864">
        <v>110.25485</v>
      </c>
      <c r="D1864" s="1">
        <v>43647</v>
      </c>
    </row>
    <row r="1865" spans="1:4" x14ac:dyDescent="0.25">
      <c r="A1865" t="s">
        <v>12</v>
      </c>
      <c r="B1865" t="s">
        <v>7</v>
      </c>
      <c r="C1865">
        <v>105.04895</v>
      </c>
      <c r="D1865" s="1">
        <v>43678</v>
      </c>
    </row>
    <row r="1866" spans="1:4" x14ac:dyDescent="0.25">
      <c r="A1866" t="s">
        <v>12</v>
      </c>
      <c r="B1866" t="s">
        <v>7</v>
      </c>
      <c r="C1866">
        <v>104.98583000000001</v>
      </c>
      <c r="D1866" s="1">
        <v>43709</v>
      </c>
    </row>
    <row r="1867" spans="1:4" x14ac:dyDescent="0.25">
      <c r="A1867" t="s">
        <v>12</v>
      </c>
      <c r="B1867" t="s">
        <v>7</v>
      </c>
      <c r="C1867">
        <v>112.12853</v>
      </c>
      <c r="D1867" s="1">
        <v>43739</v>
      </c>
    </row>
    <row r="1868" spans="1:4" x14ac:dyDescent="0.25">
      <c r="A1868" t="s">
        <v>12</v>
      </c>
      <c r="B1868" t="s">
        <v>7</v>
      </c>
      <c r="C1868">
        <v>108.77032</v>
      </c>
      <c r="D1868" s="1">
        <v>43770</v>
      </c>
    </row>
    <row r="1869" spans="1:4" x14ac:dyDescent="0.25">
      <c r="A1869" t="s">
        <v>12</v>
      </c>
      <c r="B1869" t="s">
        <v>7</v>
      </c>
      <c r="C1869">
        <v>113.20789000000001</v>
      </c>
      <c r="D1869" s="1">
        <v>43800</v>
      </c>
    </row>
    <row r="1870" spans="1:4" x14ac:dyDescent="0.25">
      <c r="A1870" t="s">
        <v>12</v>
      </c>
      <c r="B1870" t="s">
        <v>7</v>
      </c>
      <c r="C1870">
        <v>105.69826</v>
      </c>
      <c r="D1870" s="1">
        <v>43831</v>
      </c>
    </row>
    <row r="1871" spans="1:4" x14ac:dyDescent="0.25">
      <c r="A1871" t="s">
        <v>12</v>
      </c>
      <c r="B1871" t="s">
        <v>7</v>
      </c>
      <c r="C1871">
        <v>96.685220000000001</v>
      </c>
      <c r="D1871" s="1">
        <v>43862</v>
      </c>
    </row>
    <row r="1872" spans="1:4" x14ac:dyDescent="0.25">
      <c r="A1872" t="s">
        <v>12</v>
      </c>
      <c r="B1872" t="s">
        <v>7</v>
      </c>
      <c r="C1872">
        <v>72.018889999999999</v>
      </c>
      <c r="D1872" s="1">
        <v>43891</v>
      </c>
    </row>
    <row r="1873" spans="1:4" x14ac:dyDescent="0.25">
      <c r="A1873" t="s">
        <v>12</v>
      </c>
      <c r="B1873" t="s">
        <v>7</v>
      </c>
      <c r="C1873">
        <v>37.493160000000003</v>
      </c>
      <c r="D1873" s="1">
        <v>43922</v>
      </c>
    </row>
    <row r="1874" spans="1:4" x14ac:dyDescent="0.25">
      <c r="A1874" t="s">
        <v>12</v>
      </c>
      <c r="B1874" t="s">
        <v>7</v>
      </c>
      <c r="C1874">
        <v>39.276629999999997</v>
      </c>
      <c r="D1874" s="1">
        <v>43952</v>
      </c>
    </row>
    <row r="1875" spans="1:4" x14ac:dyDescent="0.25">
      <c r="A1875" t="s">
        <v>12</v>
      </c>
      <c r="B1875" t="s">
        <v>7</v>
      </c>
      <c r="C1875">
        <v>42.956099999999999</v>
      </c>
      <c r="D1875" s="1">
        <v>43983</v>
      </c>
    </row>
    <row r="1876" spans="1:4" x14ac:dyDescent="0.25">
      <c r="A1876" t="s">
        <v>12</v>
      </c>
      <c r="B1876" t="s">
        <v>7</v>
      </c>
      <c r="C1876">
        <v>50.788580000000003</v>
      </c>
      <c r="D1876" s="1">
        <v>44013</v>
      </c>
    </row>
    <row r="1877" spans="1:4" x14ac:dyDescent="0.25">
      <c r="A1877" t="s">
        <v>12</v>
      </c>
      <c r="B1877" t="s">
        <v>7</v>
      </c>
      <c r="C1877">
        <v>57.63212</v>
      </c>
      <c r="D1877" s="1">
        <v>44044</v>
      </c>
    </row>
    <row r="1878" spans="1:4" x14ac:dyDescent="0.25">
      <c r="A1878" t="s">
        <v>12</v>
      </c>
      <c r="B1878" t="s">
        <v>7</v>
      </c>
      <c r="C1878">
        <v>64.636409999999998</v>
      </c>
      <c r="D1878" s="1">
        <v>44075</v>
      </c>
    </row>
    <row r="1879" spans="1:4" x14ac:dyDescent="0.25">
      <c r="A1879" t="s">
        <v>12</v>
      </c>
      <c r="B1879" t="s">
        <v>7</v>
      </c>
      <c r="C1879">
        <v>73.644139999999993</v>
      </c>
      <c r="D1879" s="1">
        <v>44105</v>
      </c>
    </row>
    <row r="1880" spans="1:4" x14ac:dyDescent="0.25">
      <c r="A1880" t="s">
        <v>12</v>
      </c>
      <c r="B1880" t="s">
        <v>7</v>
      </c>
      <c r="C1880">
        <v>76.577699999999993</v>
      </c>
      <c r="D1880" s="1">
        <v>44136</v>
      </c>
    </row>
    <row r="1881" spans="1:4" x14ac:dyDescent="0.25">
      <c r="A1881" t="s">
        <v>12</v>
      </c>
      <c r="B1881" t="s">
        <v>7</v>
      </c>
      <c r="C1881">
        <v>83.007810000000006</v>
      </c>
      <c r="D1881" s="1">
        <v>44166</v>
      </c>
    </row>
    <row r="1882" spans="1:4" x14ac:dyDescent="0.25">
      <c r="A1882" t="s">
        <v>12</v>
      </c>
      <c r="B1882" t="s">
        <v>7</v>
      </c>
      <c r="C1882">
        <v>72.705550000000002</v>
      </c>
      <c r="D1882" s="1">
        <v>44197</v>
      </c>
    </row>
    <row r="1883" spans="1:4" x14ac:dyDescent="0.25">
      <c r="A1883" t="s">
        <v>12</v>
      </c>
      <c r="B1883" t="s">
        <v>7</v>
      </c>
      <c r="C1883">
        <v>66.192930000000004</v>
      </c>
      <c r="D1883" s="1">
        <v>44228</v>
      </c>
    </row>
    <row r="1884" spans="1:4" x14ac:dyDescent="0.25">
      <c r="A1884" t="s">
        <v>12</v>
      </c>
      <c r="B1884" t="s">
        <v>7</v>
      </c>
      <c r="C1884">
        <v>56.263199999999998</v>
      </c>
      <c r="D1884" s="1">
        <v>44256</v>
      </c>
    </row>
    <row r="1885" spans="1:4" x14ac:dyDescent="0.25">
      <c r="A1885" t="s">
        <v>12</v>
      </c>
      <c r="B1885" t="s">
        <v>7</v>
      </c>
      <c r="C1885">
        <v>57.481549999999999</v>
      </c>
      <c r="D1885" s="1">
        <v>44287</v>
      </c>
    </row>
    <row r="1886" spans="1:4" x14ac:dyDescent="0.25">
      <c r="A1886" t="s">
        <v>12</v>
      </c>
      <c r="B1886" t="s">
        <v>7</v>
      </c>
      <c r="C1886">
        <v>68.061340000000001</v>
      </c>
      <c r="D1886" s="1">
        <v>44317</v>
      </c>
    </row>
    <row r="1887" spans="1:4" x14ac:dyDescent="0.25">
      <c r="A1887" t="s">
        <v>12</v>
      </c>
      <c r="B1887" t="s">
        <v>7</v>
      </c>
      <c r="C1887">
        <v>70.335509999999999</v>
      </c>
      <c r="D1887" s="1">
        <v>44348</v>
      </c>
    </row>
    <row r="1888" spans="1:4" x14ac:dyDescent="0.25">
      <c r="A1888" t="s">
        <v>12</v>
      </c>
      <c r="B1888" t="s">
        <v>7</v>
      </c>
      <c r="C1888">
        <v>79.794499999999999</v>
      </c>
      <c r="D1888" s="1">
        <v>44378</v>
      </c>
    </row>
    <row r="1889" spans="1:4" x14ac:dyDescent="0.25">
      <c r="A1889" t="s">
        <v>12</v>
      </c>
      <c r="B1889" t="s">
        <v>7</v>
      </c>
      <c r="C1889">
        <v>78.718800000000002</v>
      </c>
      <c r="D1889" s="1">
        <v>44409</v>
      </c>
    </row>
    <row r="1890" spans="1:4" x14ac:dyDescent="0.25">
      <c r="A1890" t="s">
        <v>12</v>
      </c>
      <c r="B1890" t="s">
        <v>7</v>
      </c>
      <c r="C1890">
        <v>80.537649999999999</v>
      </c>
      <c r="D1890" s="1">
        <v>44440</v>
      </c>
    </row>
    <row r="1891" spans="1:4" x14ac:dyDescent="0.25">
      <c r="A1891" t="s">
        <v>12</v>
      </c>
      <c r="B1891" t="s">
        <v>7</v>
      </c>
      <c r="C1891">
        <v>90.134839999999997</v>
      </c>
      <c r="D1891" s="1">
        <v>44470</v>
      </c>
    </row>
    <row r="1892" spans="1:4" x14ac:dyDescent="0.25">
      <c r="A1892" t="s">
        <v>12</v>
      </c>
      <c r="B1892" t="s">
        <v>7</v>
      </c>
      <c r="C1892">
        <v>93.77861</v>
      </c>
      <c r="D1892" s="1">
        <v>44501</v>
      </c>
    </row>
    <row r="1893" spans="1:4" x14ac:dyDescent="0.25">
      <c r="A1893" t="s">
        <v>12</v>
      </c>
      <c r="B1893" t="s">
        <v>7</v>
      </c>
      <c r="C1893">
        <v>105.14771</v>
      </c>
      <c r="D1893" s="1">
        <v>44531</v>
      </c>
    </row>
    <row r="1894" spans="1:4" x14ac:dyDescent="0.25">
      <c r="A1894" t="s">
        <v>12</v>
      </c>
      <c r="B1894" t="s">
        <v>7</v>
      </c>
      <c r="C1894">
        <v>91.042249999999996</v>
      </c>
      <c r="D1894" s="1">
        <v>44562</v>
      </c>
    </row>
    <row r="1895" spans="1:4" x14ac:dyDescent="0.25">
      <c r="A1895" t="s">
        <v>12</v>
      </c>
      <c r="B1895" t="s">
        <v>7</v>
      </c>
      <c r="C1895">
        <v>81.84693</v>
      </c>
      <c r="D1895" s="1">
        <v>44593</v>
      </c>
    </row>
    <row r="1896" spans="1:4" x14ac:dyDescent="0.25">
      <c r="A1896" t="s">
        <v>12</v>
      </c>
      <c r="B1896" t="s">
        <v>7</v>
      </c>
      <c r="C1896">
        <v>98.588220000000007</v>
      </c>
      <c r="D1896" s="1">
        <v>44621</v>
      </c>
    </row>
    <row r="1897" spans="1:4" x14ac:dyDescent="0.25">
      <c r="A1897" t="s">
        <v>12</v>
      </c>
      <c r="B1897" t="s">
        <v>7</v>
      </c>
      <c r="C1897">
        <v>97.424109999999999</v>
      </c>
      <c r="D1897" s="1">
        <v>44652</v>
      </c>
    </row>
    <row r="1898" spans="1:4" x14ac:dyDescent="0.25">
      <c r="A1898" t="s">
        <v>12</v>
      </c>
      <c r="B1898" t="s">
        <v>7</v>
      </c>
      <c r="C1898">
        <v>100.23226</v>
      </c>
      <c r="D1898" s="1">
        <v>44682</v>
      </c>
    </row>
    <row r="1899" spans="1:4" x14ac:dyDescent="0.25">
      <c r="A1899" t="s">
        <v>12</v>
      </c>
      <c r="B1899" t="s">
        <v>7</v>
      </c>
      <c r="C1899">
        <v>95.621290000000002</v>
      </c>
      <c r="D1899" s="1">
        <v>44713</v>
      </c>
    </row>
    <row r="1900" spans="1:4" x14ac:dyDescent="0.25">
      <c r="A1900" t="s">
        <v>12</v>
      </c>
      <c r="B1900" t="s">
        <v>7</v>
      </c>
      <c r="C1900">
        <v>102.71903</v>
      </c>
      <c r="D1900" s="1">
        <v>44743</v>
      </c>
    </row>
    <row r="1901" spans="1:4" x14ac:dyDescent="0.25">
      <c r="A1901" t="s">
        <v>12</v>
      </c>
      <c r="B1901" t="s">
        <v>7</v>
      </c>
      <c r="C1901">
        <v>101.01112000000001</v>
      </c>
      <c r="D1901" s="1">
        <v>44774</v>
      </c>
    </row>
    <row r="1902" spans="1:4" x14ac:dyDescent="0.25">
      <c r="A1902" t="s">
        <v>12</v>
      </c>
      <c r="B1902" t="s">
        <v>7</v>
      </c>
      <c r="C1902">
        <v>103.12694</v>
      </c>
      <c r="D1902" s="1">
        <v>44805</v>
      </c>
    </row>
    <row r="1903" spans="1:4" x14ac:dyDescent="0.25">
      <c r="A1903" t="s">
        <v>12</v>
      </c>
      <c r="B1903" t="s">
        <v>7</v>
      </c>
      <c r="C1903">
        <v>106.82458</v>
      </c>
      <c r="D1903" s="1">
        <v>44835</v>
      </c>
    </row>
    <row r="1904" spans="1:4" x14ac:dyDescent="0.25">
      <c r="A1904" t="s">
        <v>12</v>
      </c>
      <c r="B1904" t="s">
        <v>7</v>
      </c>
      <c r="C1904">
        <v>105.07463</v>
      </c>
      <c r="D1904" s="1">
        <v>44866</v>
      </c>
    </row>
    <row r="1905" spans="1:4" x14ac:dyDescent="0.25">
      <c r="A1905" t="s">
        <v>12</v>
      </c>
      <c r="B1905" t="s">
        <v>7</v>
      </c>
      <c r="C1905">
        <v>116.48864</v>
      </c>
      <c r="D1905" s="1">
        <v>44896</v>
      </c>
    </row>
    <row r="1906" spans="1:4" x14ac:dyDescent="0.25">
      <c r="A1906" t="s">
        <v>12</v>
      </c>
      <c r="B1906" t="s">
        <v>7</v>
      </c>
      <c r="C1906">
        <v>106.07729999999999</v>
      </c>
      <c r="D1906" s="1">
        <v>44927</v>
      </c>
    </row>
    <row r="1907" spans="1:4" x14ac:dyDescent="0.25">
      <c r="A1907" t="s">
        <v>12</v>
      </c>
      <c r="B1907" t="s">
        <v>7</v>
      </c>
      <c r="C1907">
        <v>88.49718</v>
      </c>
      <c r="D1907" s="1">
        <v>44958</v>
      </c>
    </row>
    <row r="1908" spans="1:4" x14ac:dyDescent="0.25">
      <c r="A1908" t="s">
        <v>12</v>
      </c>
      <c r="B1908" t="s">
        <v>7</v>
      </c>
      <c r="C1908">
        <v>102.77719</v>
      </c>
      <c r="D1908" s="1">
        <v>44986</v>
      </c>
    </row>
    <row r="1909" spans="1:4" x14ac:dyDescent="0.25">
      <c r="A1909" t="s">
        <v>12</v>
      </c>
      <c r="B1909" t="s">
        <v>7</v>
      </c>
      <c r="C1909">
        <v>96.660229999999999</v>
      </c>
      <c r="D1909" s="1">
        <v>45017</v>
      </c>
    </row>
    <row r="1910" spans="1:4" x14ac:dyDescent="0.25">
      <c r="A1910" t="s">
        <v>12</v>
      </c>
      <c r="B1910" t="s">
        <v>7</v>
      </c>
      <c r="C1910">
        <v>97.718040000000002</v>
      </c>
      <c r="D1910" s="1">
        <v>45047</v>
      </c>
    </row>
    <row r="1911" spans="1:4" x14ac:dyDescent="0.25">
      <c r="A1911" t="s">
        <v>12</v>
      </c>
      <c r="B1911" t="s">
        <v>7</v>
      </c>
      <c r="C1911">
        <v>97.943849999999998</v>
      </c>
      <c r="D1911" s="1">
        <v>45078</v>
      </c>
    </row>
    <row r="1912" spans="1:4" x14ac:dyDescent="0.25">
      <c r="A1912" t="s">
        <v>12</v>
      </c>
      <c r="B1912" t="s">
        <v>7</v>
      </c>
      <c r="C1912">
        <v>110.11081</v>
      </c>
      <c r="D1912" s="1">
        <v>45108</v>
      </c>
    </row>
    <row r="1913" spans="1:4" x14ac:dyDescent="0.25">
      <c r="A1913" t="s">
        <v>12</v>
      </c>
      <c r="B1913" t="s">
        <v>7</v>
      </c>
      <c r="C1913">
        <v>95.369169999999997</v>
      </c>
      <c r="D1913" s="1">
        <v>45139</v>
      </c>
    </row>
    <row r="1914" spans="1:4" x14ac:dyDescent="0.25">
      <c r="A1914" t="s">
        <v>12</v>
      </c>
      <c r="B1914" t="s">
        <v>7</v>
      </c>
      <c r="C1914">
        <v>98.430729999999997</v>
      </c>
      <c r="D1914" s="1">
        <v>45170</v>
      </c>
    </row>
    <row r="1915" spans="1:4" x14ac:dyDescent="0.25">
      <c r="A1915" t="s">
        <v>12</v>
      </c>
      <c r="B1915" t="s">
        <v>7</v>
      </c>
      <c r="C1915">
        <v>104.07053999999999</v>
      </c>
      <c r="D1915" s="1">
        <v>45200</v>
      </c>
    </row>
    <row r="1916" spans="1:4" x14ac:dyDescent="0.25">
      <c r="A1916" t="s">
        <v>12</v>
      </c>
      <c r="B1916" t="s">
        <v>7</v>
      </c>
      <c r="C1916">
        <v>111.40115</v>
      </c>
      <c r="D1916" s="1">
        <v>45231</v>
      </c>
    </row>
    <row r="1917" spans="1:4" x14ac:dyDescent="0.25">
      <c r="A1917" t="s">
        <v>12</v>
      </c>
      <c r="B1917" t="s">
        <v>7</v>
      </c>
      <c r="C1917">
        <v>124.82553</v>
      </c>
      <c r="D1917" s="1">
        <v>45261</v>
      </c>
    </row>
    <row r="1918" spans="1:4" x14ac:dyDescent="0.25">
      <c r="A1918" t="s">
        <v>12</v>
      </c>
      <c r="B1918" t="s">
        <v>7</v>
      </c>
      <c r="C1918">
        <v>109.85115999999999</v>
      </c>
      <c r="D1918" s="1">
        <v>45292</v>
      </c>
    </row>
    <row r="1919" spans="1:4" x14ac:dyDescent="0.25">
      <c r="A1919" t="s">
        <v>12</v>
      </c>
      <c r="B1919" t="s">
        <v>7</v>
      </c>
      <c r="C1919">
        <v>93.46848</v>
      </c>
      <c r="D1919" s="1">
        <v>45323</v>
      </c>
    </row>
    <row r="1920" spans="1:4" x14ac:dyDescent="0.25">
      <c r="A1920" t="s">
        <v>12</v>
      </c>
      <c r="B1920" t="s">
        <v>7</v>
      </c>
      <c r="C1920">
        <v>105.32315</v>
      </c>
      <c r="D1920" s="1">
        <v>45352</v>
      </c>
    </row>
    <row r="1921" spans="1:4" x14ac:dyDescent="0.25">
      <c r="A1921" t="s">
        <v>12</v>
      </c>
      <c r="B1921" t="s">
        <v>7</v>
      </c>
      <c r="C1921">
        <v>100.01896000000001</v>
      </c>
      <c r="D1921" s="1">
        <v>45383</v>
      </c>
    </row>
    <row r="1922" spans="1:4" x14ac:dyDescent="0.25">
      <c r="A1922" t="s">
        <v>12</v>
      </c>
      <c r="B1922" t="s">
        <v>7</v>
      </c>
      <c r="C1922">
        <v>106.85301</v>
      </c>
      <c r="D1922" s="1">
        <v>45413</v>
      </c>
    </row>
    <row r="1923" spans="1:4" x14ac:dyDescent="0.25">
      <c r="A1923" t="s">
        <v>12</v>
      </c>
      <c r="B1923" t="s">
        <v>7</v>
      </c>
      <c r="C1923">
        <v>104.50557999999999</v>
      </c>
      <c r="D1923" s="1">
        <v>45444</v>
      </c>
    </row>
    <row r="1924" spans="1:4" x14ac:dyDescent="0.25">
      <c r="A1924" t="s">
        <v>12</v>
      </c>
      <c r="B1924" t="s">
        <v>7</v>
      </c>
      <c r="C1924">
        <v>113.08036</v>
      </c>
      <c r="D1924" s="1">
        <v>45474</v>
      </c>
    </row>
    <row r="1925" spans="1:4" x14ac:dyDescent="0.25">
      <c r="A1925" t="s">
        <v>12</v>
      </c>
      <c r="B1925" t="s">
        <v>7</v>
      </c>
      <c r="C1925">
        <v>105.41306</v>
      </c>
      <c r="D1925" s="1">
        <v>45505</v>
      </c>
    </row>
    <row r="1926" spans="1:4" x14ac:dyDescent="0.25">
      <c r="A1926" t="s">
        <v>12</v>
      </c>
      <c r="B1926" t="s">
        <v>7</v>
      </c>
      <c r="C1926">
        <v>102.89103</v>
      </c>
      <c r="D1926" s="1">
        <v>45536</v>
      </c>
    </row>
    <row r="1927" spans="1:4" x14ac:dyDescent="0.25">
      <c r="A1927" t="s">
        <v>12</v>
      </c>
      <c r="B1927" t="s">
        <v>7</v>
      </c>
      <c r="C1927">
        <v>114.0386</v>
      </c>
      <c r="D1927" s="1">
        <v>45566</v>
      </c>
    </row>
    <row r="1928" spans="1:4" x14ac:dyDescent="0.25">
      <c r="A1928" t="s">
        <v>12</v>
      </c>
      <c r="B1928" t="s">
        <v>7</v>
      </c>
      <c r="C1928">
        <v>114.95052</v>
      </c>
      <c r="D1928" s="1">
        <v>45597</v>
      </c>
    </row>
    <row r="1929" spans="1:4" x14ac:dyDescent="0.25">
      <c r="A1929" t="s">
        <v>12</v>
      </c>
      <c r="B1929" t="s">
        <v>7</v>
      </c>
      <c r="C1929">
        <v>128.34293</v>
      </c>
      <c r="D1929" s="1">
        <v>45627</v>
      </c>
    </row>
    <row r="1930" spans="1:4" x14ac:dyDescent="0.25">
      <c r="A1930" t="s">
        <v>12</v>
      </c>
      <c r="B1930" t="s">
        <v>7</v>
      </c>
      <c r="C1930">
        <v>109.64302000000001</v>
      </c>
      <c r="D1930" s="1">
        <v>45658</v>
      </c>
    </row>
    <row r="1931" spans="1:4" x14ac:dyDescent="0.25">
      <c r="A1931" t="s">
        <v>12</v>
      </c>
      <c r="B1931" t="s">
        <v>7</v>
      </c>
      <c r="C1931">
        <v>93.839340000000007</v>
      </c>
      <c r="D1931" s="1">
        <v>45689</v>
      </c>
    </row>
    <row r="1932" spans="1:4" x14ac:dyDescent="0.25">
      <c r="A1932" t="s">
        <v>12</v>
      </c>
      <c r="B1932" t="s">
        <v>7</v>
      </c>
      <c r="C1932">
        <v>106.36599</v>
      </c>
      <c r="D1932" s="1">
        <v>45717</v>
      </c>
    </row>
    <row r="1933" spans="1:4" x14ac:dyDescent="0.25">
      <c r="A1933" t="s">
        <v>12</v>
      </c>
      <c r="B1933" t="s">
        <v>7</v>
      </c>
      <c r="C1933">
        <v>104.52422</v>
      </c>
      <c r="D1933" s="1">
        <v>45748</v>
      </c>
    </row>
    <row r="1934" spans="1:4" x14ac:dyDescent="0.25">
      <c r="A1934" t="s">
        <v>12</v>
      </c>
      <c r="B1934" t="s">
        <v>7</v>
      </c>
      <c r="C1934">
        <v>107.38896</v>
      </c>
      <c r="D1934" s="1">
        <v>45778</v>
      </c>
    </row>
    <row r="1935" spans="1:4" x14ac:dyDescent="0.25">
      <c r="A1935" t="s">
        <v>12</v>
      </c>
      <c r="B1935" t="s">
        <v>7</v>
      </c>
      <c r="C1935">
        <v>101.7975</v>
      </c>
      <c r="D1935" s="1">
        <v>45809</v>
      </c>
    </row>
    <row r="1936" spans="1:4" x14ac:dyDescent="0.25">
      <c r="A1936" t="s">
        <v>12</v>
      </c>
      <c r="B1936" t="s">
        <v>7</v>
      </c>
      <c r="C1936">
        <v>110.91119</v>
      </c>
      <c r="D1936" s="1">
        <v>45839</v>
      </c>
    </row>
    <row r="1937" spans="1:4" x14ac:dyDescent="0.25">
      <c r="A1937" t="s">
        <v>12</v>
      </c>
      <c r="B1937" t="s">
        <v>7</v>
      </c>
      <c r="C1937">
        <v>105.97723999999999</v>
      </c>
      <c r="D1937" s="1">
        <v>45870</v>
      </c>
    </row>
    <row r="1938" spans="1:4" x14ac:dyDescent="0.25">
      <c r="A1938" t="s">
        <v>12</v>
      </c>
      <c r="B1938" t="s">
        <v>6</v>
      </c>
      <c r="C1938">
        <v>73.630830000000003</v>
      </c>
      <c r="D1938" s="1">
        <v>40544</v>
      </c>
    </row>
    <row r="1939" spans="1:4" x14ac:dyDescent="0.25">
      <c r="A1939" t="s">
        <v>12</v>
      </c>
      <c r="B1939" t="s">
        <v>6</v>
      </c>
      <c r="C1939">
        <v>73.314260000000004</v>
      </c>
      <c r="D1939" s="1">
        <v>40575</v>
      </c>
    </row>
    <row r="1940" spans="1:4" x14ac:dyDescent="0.25">
      <c r="A1940" t="s">
        <v>12</v>
      </c>
      <c r="B1940" t="s">
        <v>6</v>
      </c>
      <c r="C1940">
        <v>77.555009999999996</v>
      </c>
      <c r="D1940" s="1">
        <v>40603</v>
      </c>
    </row>
    <row r="1941" spans="1:4" x14ac:dyDescent="0.25">
      <c r="A1941" t="s">
        <v>12</v>
      </c>
      <c r="B1941" t="s">
        <v>6</v>
      </c>
      <c r="C1941">
        <v>77.562669999999997</v>
      </c>
      <c r="D1941" s="1">
        <v>40634</v>
      </c>
    </row>
    <row r="1942" spans="1:4" x14ac:dyDescent="0.25">
      <c r="A1942" t="s">
        <v>12</v>
      </c>
      <c r="B1942" t="s">
        <v>6</v>
      </c>
      <c r="C1942">
        <v>80.377809999999997</v>
      </c>
      <c r="D1942" s="1">
        <v>40664</v>
      </c>
    </row>
    <row r="1943" spans="1:4" x14ac:dyDescent="0.25">
      <c r="A1943" t="s">
        <v>12</v>
      </c>
      <c r="B1943" t="s">
        <v>6</v>
      </c>
      <c r="C1943">
        <v>80.248559999999998</v>
      </c>
      <c r="D1943" s="1">
        <v>40695</v>
      </c>
    </row>
    <row r="1944" spans="1:4" x14ac:dyDescent="0.25">
      <c r="A1944" t="s">
        <v>12</v>
      </c>
      <c r="B1944" t="s">
        <v>6</v>
      </c>
      <c r="C1944">
        <v>80.693619999999996</v>
      </c>
      <c r="D1944" s="1">
        <v>40725</v>
      </c>
    </row>
    <row r="1945" spans="1:4" x14ac:dyDescent="0.25">
      <c r="A1945" t="s">
        <v>12</v>
      </c>
      <c r="B1945" t="s">
        <v>6</v>
      </c>
      <c r="C1945">
        <v>83.146749999999997</v>
      </c>
      <c r="D1945" s="1">
        <v>40756</v>
      </c>
    </row>
    <row r="1946" spans="1:4" x14ac:dyDescent="0.25">
      <c r="A1946" t="s">
        <v>12</v>
      </c>
      <c r="B1946" t="s">
        <v>6</v>
      </c>
      <c r="C1946">
        <v>82.117900000000006</v>
      </c>
      <c r="D1946" s="1">
        <v>40787</v>
      </c>
    </row>
    <row r="1947" spans="1:4" x14ac:dyDescent="0.25">
      <c r="A1947" t="s">
        <v>12</v>
      </c>
      <c r="B1947" t="s">
        <v>6</v>
      </c>
      <c r="C1947">
        <v>81.557609999999997</v>
      </c>
      <c r="D1947" s="1">
        <v>40817</v>
      </c>
    </row>
    <row r="1948" spans="1:4" x14ac:dyDescent="0.25">
      <c r="A1948" t="s">
        <v>12</v>
      </c>
      <c r="B1948" t="s">
        <v>6</v>
      </c>
      <c r="C1948">
        <v>83.477950000000007</v>
      </c>
      <c r="D1948" s="1">
        <v>40848</v>
      </c>
    </row>
    <row r="1949" spans="1:4" x14ac:dyDescent="0.25">
      <c r="A1949" t="s">
        <v>12</v>
      </c>
      <c r="B1949" t="s">
        <v>6</v>
      </c>
      <c r="C1949">
        <v>88.894639999999995</v>
      </c>
      <c r="D1949" s="1">
        <v>40878</v>
      </c>
    </row>
    <row r="1950" spans="1:4" x14ac:dyDescent="0.25">
      <c r="A1950" t="s">
        <v>12</v>
      </c>
      <c r="B1950" t="s">
        <v>6</v>
      </c>
      <c r="C1950">
        <v>77.369990000000001</v>
      </c>
      <c r="D1950" s="1">
        <v>40909</v>
      </c>
    </row>
    <row r="1951" spans="1:4" x14ac:dyDescent="0.25">
      <c r="A1951" t="s">
        <v>12</v>
      </c>
      <c r="B1951" t="s">
        <v>6</v>
      </c>
      <c r="C1951">
        <v>76.393249999999995</v>
      </c>
      <c r="D1951" s="1">
        <v>40940</v>
      </c>
    </row>
    <row r="1952" spans="1:4" x14ac:dyDescent="0.25">
      <c r="A1952" t="s">
        <v>12</v>
      </c>
      <c r="B1952" t="s">
        <v>6</v>
      </c>
      <c r="C1952">
        <v>82.876279999999994</v>
      </c>
      <c r="D1952" s="1">
        <v>40969</v>
      </c>
    </row>
    <row r="1953" spans="1:4" x14ac:dyDescent="0.25">
      <c r="A1953" t="s">
        <v>12</v>
      </c>
      <c r="B1953" t="s">
        <v>6</v>
      </c>
      <c r="C1953">
        <v>78.618250000000003</v>
      </c>
      <c r="D1953" s="1">
        <v>41000</v>
      </c>
    </row>
    <row r="1954" spans="1:4" x14ac:dyDescent="0.25">
      <c r="A1954" t="s">
        <v>12</v>
      </c>
      <c r="B1954" t="s">
        <v>6</v>
      </c>
      <c r="C1954">
        <v>83.44014</v>
      </c>
      <c r="D1954" s="1">
        <v>41030</v>
      </c>
    </row>
    <row r="1955" spans="1:4" x14ac:dyDescent="0.25">
      <c r="A1955" t="s">
        <v>12</v>
      </c>
      <c r="B1955" t="s">
        <v>6</v>
      </c>
      <c r="C1955">
        <v>81.798000000000002</v>
      </c>
      <c r="D1955" s="1">
        <v>41061</v>
      </c>
    </row>
    <row r="1956" spans="1:4" x14ac:dyDescent="0.25">
      <c r="A1956" t="s">
        <v>12</v>
      </c>
      <c r="B1956" t="s">
        <v>6</v>
      </c>
      <c r="C1956">
        <v>82.870339999999999</v>
      </c>
      <c r="D1956" s="1">
        <v>41091</v>
      </c>
    </row>
    <row r="1957" spans="1:4" x14ac:dyDescent="0.25">
      <c r="A1957" t="s">
        <v>12</v>
      </c>
      <c r="B1957" t="s">
        <v>6</v>
      </c>
      <c r="C1957">
        <v>86.419280000000001</v>
      </c>
      <c r="D1957" s="1">
        <v>41122</v>
      </c>
    </row>
    <row r="1958" spans="1:4" x14ac:dyDescent="0.25">
      <c r="A1958" t="s">
        <v>12</v>
      </c>
      <c r="B1958" t="s">
        <v>6</v>
      </c>
      <c r="C1958">
        <v>84.573809999999995</v>
      </c>
      <c r="D1958" s="1">
        <v>41153</v>
      </c>
    </row>
    <row r="1959" spans="1:4" x14ac:dyDescent="0.25">
      <c r="A1959" t="s">
        <v>12</v>
      </c>
      <c r="B1959" t="s">
        <v>6</v>
      </c>
      <c r="C1959">
        <v>87.119929999999997</v>
      </c>
      <c r="D1959" s="1">
        <v>41183</v>
      </c>
    </row>
    <row r="1960" spans="1:4" x14ac:dyDescent="0.25">
      <c r="A1960" t="s">
        <v>12</v>
      </c>
      <c r="B1960" t="s">
        <v>6</v>
      </c>
      <c r="C1960">
        <v>87.046959999999999</v>
      </c>
      <c r="D1960" s="1">
        <v>41214</v>
      </c>
    </row>
    <row r="1961" spans="1:4" x14ac:dyDescent="0.25">
      <c r="A1961" t="s">
        <v>12</v>
      </c>
      <c r="B1961" t="s">
        <v>6</v>
      </c>
      <c r="C1961">
        <v>93.907740000000004</v>
      </c>
      <c r="D1961" s="1">
        <v>41244</v>
      </c>
    </row>
    <row r="1962" spans="1:4" x14ac:dyDescent="0.25">
      <c r="A1962" t="s">
        <v>12</v>
      </c>
      <c r="B1962" t="s">
        <v>6</v>
      </c>
      <c r="C1962">
        <v>82.988519999999994</v>
      </c>
      <c r="D1962" s="1">
        <v>41275</v>
      </c>
    </row>
    <row r="1963" spans="1:4" x14ac:dyDescent="0.25">
      <c r="A1963" t="s">
        <v>12</v>
      </c>
      <c r="B1963" t="s">
        <v>6</v>
      </c>
      <c r="C1963">
        <v>78.886200000000002</v>
      </c>
      <c r="D1963" s="1">
        <v>41306</v>
      </c>
    </row>
    <row r="1964" spans="1:4" x14ac:dyDescent="0.25">
      <c r="A1964" t="s">
        <v>12</v>
      </c>
      <c r="B1964" t="s">
        <v>6</v>
      </c>
      <c r="C1964">
        <v>84.199780000000004</v>
      </c>
      <c r="D1964" s="1">
        <v>41334</v>
      </c>
    </row>
    <row r="1965" spans="1:4" x14ac:dyDescent="0.25">
      <c r="A1965" t="s">
        <v>12</v>
      </c>
      <c r="B1965" t="s">
        <v>6</v>
      </c>
      <c r="C1965">
        <v>85.900139999999993</v>
      </c>
      <c r="D1965" s="1">
        <v>41365</v>
      </c>
    </row>
    <row r="1966" spans="1:4" x14ac:dyDescent="0.25">
      <c r="A1966" t="s">
        <v>12</v>
      </c>
      <c r="B1966" t="s">
        <v>6</v>
      </c>
      <c r="C1966">
        <v>87.215630000000004</v>
      </c>
      <c r="D1966" s="1">
        <v>41395</v>
      </c>
    </row>
    <row r="1967" spans="1:4" x14ac:dyDescent="0.25">
      <c r="A1967" t="s">
        <v>12</v>
      </c>
      <c r="B1967" t="s">
        <v>6</v>
      </c>
      <c r="C1967">
        <v>86.300910000000002</v>
      </c>
      <c r="D1967" s="1">
        <v>41426</v>
      </c>
    </row>
    <row r="1968" spans="1:4" x14ac:dyDescent="0.25">
      <c r="A1968" t="s">
        <v>12</v>
      </c>
      <c r="B1968" t="s">
        <v>6</v>
      </c>
      <c r="C1968">
        <v>86.939490000000006</v>
      </c>
      <c r="D1968" s="1">
        <v>41456</v>
      </c>
    </row>
    <row r="1969" spans="1:4" x14ac:dyDescent="0.25">
      <c r="A1969" t="s">
        <v>12</v>
      </c>
      <c r="B1969" t="s">
        <v>6</v>
      </c>
      <c r="C1969">
        <v>87.751109999999997</v>
      </c>
      <c r="D1969" s="1">
        <v>41487</v>
      </c>
    </row>
    <row r="1970" spans="1:4" x14ac:dyDescent="0.25">
      <c r="A1970" t="s">
        <v>12</v>
      </c>
      <c r="B1970" t="s">
        <v>6</v>
      </c>
      <c r="C1970">
        <v>88.461680000000001</v>
      </c>
      <c r="D1970" s="1">
        <v>41518</v>
      </c>
    </row>
    <row r="1971" spans="1:4" x14ac:dyDescent="0.25">
      <c r="A1971" t="s">
        <v>12</v>
      </c>
      <c r="B1971" t="s">
        <v>6</v>
      </c>
      <c r="C1971">
        <v>92.043880000000001</v>
      </c>
      <c r="D1971" s="1">
        <v>41548</v>
      </c>
    </row>
    <row r="1972" spans="1:4" x14ac:dyDescent="0.25">
      <c r="A1972" t="s">
        <v>12</v>
      </c>
      <c r="B1972" t="s">
        <v>6</v>
      </c>
      <c r="C1972">
        <v>91.540800000000004</v>
      </c>
      <c r="D1972" s="1">
        <v>41579</v>
      </c>
    </row>
    <row r="1973" spans="1:4" x14ac:dyDescent="0.25">
      <c r="A1973" t="s">
        <v>12</v>
      </c>
      <c r="B1973" t="s">
        <v>6</v>
      </c>
      <c r="C1973">
        <v>98.622649999999993</v>
      </c>
      <c r="D1973" s="1">
        <v>41609</v>
      </c>
    </row>
    <row r="1974" spans="1:4" x14ac:dyDescent="0.25">
      <c r="A1974" t="s">
        <v>12</v>
      </c>
      <c r="B1974" t="s">
        <v>6</v>
      </c>
      <c r="C1974">
        <v>88.929169999999999</v>
      </c>
      <c r="D1974" s="1">
        <v>41640</v>
      </c>
    </row>
    <row r="1975" spans="1:4" x14ac:dyDescent="0.25">
      <c r="A1975" t="s">
        <v>12</v>
      </c>
      <c r="B1975" t="s">
        <v>6</v>
      </c>
      <c r="C1975">
        <v>82.195170000000005</v>
      </c>
      <c r="D1975" s="1">
        <v>41671</v>
      </c>
    </row>
    <row r="1976" spans="1:4" x14ac:dyDescent="0.25">
      <c r="A1976" t="s">
        <v>12</v>
      </c>
      <c r="B1976" t="s">
        <v>6</v>
      </c>
      <c r="C1976">
        <v>86.438680000000005</v>
      </c>
      <c r="D1976" s="1">
        <v>41699</v>
      </c>
    </row>
    <row r="1977" spans="1:4" x14ac:dyDescent="0.25">
      <c r="A1977" t="s">
        <v>12</v>
      </c>
      <c r="B1977" t="s">
        <v>6</v>
      </c>
      <c r="C1977">
        <v>86.527919999999995</v>
      </c>
      <c r="D1977" s="1">
        <v>41730</v>
      </c>
    </row>
    <row r="1978" spans="1:4" x14ac:dyDescent="0.25">
      <c r="A1978" t="s">
        <v>12</v>
      </c>
      <c r="B1978" t="s">
        <v>6</v>
      </c>
      <c r="C1978">
        <v>88.844880000000003</v>
      </c>
      <c r="D1978" s="1">
        <v>41760</v>
      </c>
    </row>
    <row r="1979" spans="1:4" x14ac:dyDescent="0.25">
      <c r="A1979" t="s">
        <v>12</v>
      </c>
      <c r="B1979" t="s">
        <v>6</v>
      </c>
      <c r="C1979">
        <v>87.364400000000003</v>
      </c>
      <c r="D1979" s="1">
        <v>41791</v>
      </c>
    </row>
    <row r="1980" spans="1:4" x14ac:dyDescent="0.25">
      <c r="A1980" t="s">
        <v>12</v>
      </c>
      <c r="B1980" t="s">
        <v>6</v>
      </c>
      <c r="C1980">
        <v>89.188400000000001</v>
      </c>
      <c r="D1980" s="1">
        <v>41821</v>
      </c>
    </row>
    <row r="1981" spans="1:4" x14ac:dyDescent="0.25">
      <c r="A1981" t="s">
        <v>12</v>
      </c>
      <c r="B1981" t="s">
        <v>6</v>
      </c>
      <c r="C1981">
        <v>90.001940000000005</v>
      </c>
      <c r="D1981" s="1">
        <v>41852</v>
      </c>
    </row>
    <row r="1982" spans="1:4" x14ac:dyDescent="0.25">
      <c r="A1982" t="s">
        <v>12</v>
      </c>
      <c r="B1982" t="s">
        <v>6</v>
      </c>
      <c r="C1982">
        <v>92.705569999999994</v>
      </c>
      <c r="D1982" s="1">
        <v>41883</v>
      </c>
    </row>
    <row r="1983" spans="1:4" x14ac:dyDescent="0.25">
      <c r="A1983" t="s">
        <v>12</v>
      </c>
      <c r="B1983" t="s">
        <v>6</v>
      </c>
      <c r="C1983">
        <v>94.745260000000002</v>
      </c>
      <c r="D1983" s="1">
        <v>41913</v>
      </c>
    </row>
    <row r="1984" spans="1:4" x14ac:dyDescent="0.25">
      <c r="A1984" t="s">
        <v>12</v>
      </c>
      <c r="B1984" t="s">
        <v>6</v>
      </c>
      <c r="C1984">
        <v>92.521370000000005</v>
      </c>
      <c r="D1984" s="1">
        <v>41944</v>
      </c>
    </row>
    <row r="1985" spans="1:4" x14ac:dyDescent="0.25">
      <c r="A1985" t="s">
        <v>12</v>
      </c>
      <c r="B1985" t="s">
        <v>6</v>
      </c>
      <c r="C1985">
        <v>99.251329999999996</v>
      </c>
      <c r="D1985" s="1">
        <v>41974</v>
      </c>
    </row>
    <row r="1986" spans="1:4" x14ac:dyDescent="0.25">
      <c r="A1986" t="s">
        <v>12</v>
      </c>
      <c r="B1986" t="s">
        <v>6</v>
      </c>
      <c r="C1986">
        <v>85.477810000000005</v>
      </c>
      <c r="D1986" s="1">
        <v>42005</v>
      </c>
    </row>
    <row r="1987" spans="1:4" x14ac:dyDescent="0.25">
      <c r="A1987" t="s">
        <v>12</v>
      </c>
      <c r="B1987" t="s">
        <v>6</v>
      </c>
      <c r="C1987">
        <v>81.726119999999995</v>
      </c>
      <c r="D1987" s="1">
        <v>42036</v>
      </c>
    </row>
    <row r="1988" spans="1:4" x14ac:dyDescent="0.25">
      <c r="A1988" t="s">
        <v>12</v>
      </c>
      <c r="B1988" t="s">
        <v>6</v>
      </c>
      <c r="C1988">
        <v>91.112520000000004</v>
      </c>
      <c r="D1988" s="1">
        <v>42064</v>
      </c>
    </row>
    <row r="1989" spans="1:4" x14ac:dyDescent="0.25">
      <c r="A1989" t="s">
        <v>12</v>
      </c>
      <c r="B1989" t="s">
        <v>6</v>
      </c>
      <c r="C1989">
        <v>85.698080000000004</v>
      </c>
      <c r="D1989" s="1">
        <v>42095</v>
      </c>
    </row>
    <row r="1990" spans="1:4" x14ac:dyDescent="0.25">
      <c r="A1990" t="s">
        <v>12</v>
      </c>
      <c r="B1990" t="s">
        <v>6</v>
      </c>
      <c r="C1990">
        <v>87.527150000000006</v>
      </c>
      <c r="D1990" s="1">
        <v>42125</v>
      </c>
    </row>
    <row r="1991" spans="1:4" x14ac:dyDescent="0.25">
      <c r="A1991" t="s">
        <v>12</v>
      </c>
      <c r="B1991" t="s">
        <v>6</v>
      </c>
      <c r="C1991">
        <v>87.319940000000003</v>
      </c>
      <c r="D1991" s="1">
        <v>42156</v>
      </c>
    </row>
    <row r="1992" spans="1:4" x14ac:dyDescent="0.25">
      <c r="A1992" t="s">
        <v>12</v>
      </c>
      <c r="B1992" t="s">
        <v>6</v>
      </c>
      <c r="C1992">
        <v>86.168750000000003</v>
      </c>
      <c r="D1992" s="1">
        <v>42186</v>
      </c>
    </row>
    <row r="1993" spans="1:4" x14ac:dyDescent="0.25">
      <c r="A1993" t="s">
        <v>12</v>
      </c>
      <c r="B1993" t="s">
        <v>6</v>
      </c>
      <c r="C1993">
        <v>86.481290000000001</v>
      </c>
      <c r="D1993" s="1">
        <v>42217</v>
      </c>
    </row>
    <row r="1994" spans="1:4" x14ac:dyDescent="0.25">
      <c r="A1994" t="s">
        <v>12</v>
      </c>
      <c r="B1994" t="s">
        <v>6</v>
      </c>
      <c r="C1994">
        <v>87.08887</v>
      </c>
      <c r="D1994" s="1">
        <v>42248</v>
      </c>
    </row>
    <row r="1995" spans="1:4" x14ac:dyDescent="0.25">
      <c r="A1995" t="s">
        <v>12</v>
      </c>
      <c r="B1995" t="s">
        <v>6</v>
      </c>
      <c r="C1995">
        <v>88.001140000000007</v>
      </c>
      <c r="D1995" s="1">
        <v>42278</v>
      </c>
    </row>
    <row r="1996" spans="1:4" x14ac:dyDescent="0.25">
      <c r="A1996" t="s">
        <v>12</v>
      </c>
      <c r="B1996" t="s">
        <v>6</v>
      </c>
      <c r="C1996">
        <v>86.356099999999998</v>
      </c>
      <c r="D1996" s="1">
        <v>42309</v>
      </c>
    </row>
    <row r="1997" spans="1:4" x14ac:dyDescent="0.25">
      <c r="A1997" t="s">
        <v>12</v>
      </c>
      <c r="B1997" t="s">
        <v>6</v>
      </c>
      <c r="C1997">
        <v>93.736109999999996</v>
      </c>
      <c r="D1997" s="1">
        <v>42339</v>
      </c>
    </row>
    <row r="1998" spans="1:4" x14ac:dyDescent="0.25">
      <c r="A1998" t="s">
        <v>12</v>
      </c>
      <c r="B1998" t="s">
        <v>6</v>
      </c>
      <c r="C1998">
        <v>80.675150000000002</v>
      </c>
      <c r="D1998" s="1">
        <v>42370</v>
      </c>
    </row>
    <row r="1999" spans="1:4" x14ac:dyDescent="0.25">
      <c r="A1999" t="s">
        <v>12</v>
      </c>
      <c r="B1999" t="s">
        <v>6</v>
      </c>
      <c r="C1999">
        <v>77.604079999999996</v>
      </c>
      <c r="D1999" s="1">
        <v>42401</v>
      </c>
    </row>
    <row r="2000" spans="1:4" x14ac:dyDescent="0.25">
      <c r="A2000" t="s">
        <v>12</v>
      </c>
      <c r="B2000" t="s">
        <v>6</v>
      </c>
      <c r="C2000">
        <v>85.364360000000005</v>
      </c>
      <c r="D2000" s="1">
        <v>42430</v>
      </c>
    </row>
    <row r="2001" spans="1:4" x14ac:dyDescent="0.25">
      <c r="A2001" t="s">
        <v>12</v>
      </c>
      <c r="B2001" t="s">
        <v>6</v>
      </c>
      <c r="C2001">
        <v>82.005369999999999</v>
      </c>
      <c r="D2001" s="1">
        <v>42461</v>
      </c>
    </row>
    <row r="2002" spans="1:4" x14ac:dyDescent="0.25">
      <c r="A2002" t="s">
        <v>12</v>
      </c>
      <c r="B2002" t="s">
        <v>6</v>
      </c>
      <c r="C2002">
        <v>82.176609999999997</v>
      </c>
      <c r="D2002" s="1">
        <v>42491</v>
      </c>
    </row>
    <row r="2003" spans="1:4" x14ac:dyDescent="0.25">
      <c r="A2003" t="s">
        <v>12</v>
      </c>
      <c r="B2003" t="s">
        <v>6</v>
      </c>
      <c r="C2003">
        <v>84.886889999999994</v>
      </c>
      <c r="D2003" s="1">
        <v>42522</v>
      </c>
    </row>
    <row r="2004" spans="1:4" x14ac:dyDescent="0.25">
      <c r="A2004" t="s">
        <v>12</v>
      </c>
      <c r="B2004" t="s">
        <v>6</v>
      </c>
      <c r="C2004">
        <v>84.246610000000004</v>
      </c>
      <c r="D2004" s="1">
        <v>42552</v>
      </c>
    </row>
    <row r="2005" spans="1:4" x14ac:dyDescent="0.25">
      <c r="A2005" t="s">
        <v>12</v>
      </c>
      <c r="B2005" t="s">
        <v>6</v>
      </c>
      <c r="C2005">
        <v>85.326409999999996</v>
      </c>
      <c r="D2005" s="1">
        <v>42583</v>
      </c>
    </row>
    <row r="2006" spans="1:4" x14ac:dyDescent="0.25">
      <c r="A2006" t="s">
        <v>12</v>
      </c>
      <c r="B2006" t="s">
        <v>6</v>
      </c>
      <c r="C2006">
        <v>86.069230000000005</v>
      </c>
      <c r="D2006" s="1">
        <v>42614</v>
      </c>
    </row>
    <row r="2007" spans="1:4" x14ac:dyDescent="0.25">
      <c r="A2007" t="s">
        <v>12</v>
      </c>
      <c r="B2007" t="s">
        <v>6</v>
      </c>
      <c r="C2007">
        <v>84.263149999999996</v>
      </c>
      <c r="D2007" s="1">
        <v>42644</v>
      </c>
    </row>
    <row r="2008" spans="1:4" x14ac:dyDescent="0.25">
      <c r="A2008" t="s">
        <v>12</v>
      </c>
      <c r="B2008" t="s">
        <v>6</v>
      </c>
      <c r="C2008">
        <v>84.931359999999998</v>
      </c>
      <c r="D2008" s="1">
        <v>42675</v>
      </c>
    </row>
    <row r="2009" spans="1:4" x14ac:dyDescent="0.25">
      <c r="A2009" t="s">
        <v>12</v>
      </c>
      <c r="B2009" t="s">
        <v>6</v>
      </c>
      <c r="C2009">
        <v>91.383390000000006</v>
      </c>
      <c r="D2009" s="1">
        <v>42705</v>
      </c>
    </row>
    <row r="2010" spans="1:4" x14ac:dyDescent="0.25">
      <c r="A2010" t="s">
        <v>12</v>
      </c>
      <c r="B2010" t="s">
        <v>6</v>
      </c>
      <c r="C2010">
        <v>79.35566</v>
      </c>
      <c r="D2010" s="1">
        <v>42736</v>
      </c>
    </row>
    <row r="2011" spans="1:4" x14ac:dyDescent="0.25">
      <c r="A2011" t="s">
        <v>12</v>
      </c>
      <c r="B2011" t="s">
        <v>6</v>
      </c>
      <c r="C2011">
        <v>75.919539999999998</v>
      </c>
      <c r="D2011" s="1">
        <v>42767</v>
      </c>
    </row>
    <row r="2012" spans="1:4" x14ac:dyDescent="0.25">
      <c r="A2012" t="s">
        <v>12</v>
      </c>
      <c r="B2012" t="s">
        <v>6</v>
      </c>
      <c r="C2012">
        <v>82.267920000000004</v>
      </c>
      <c r="D2012" s="1">
        <v>42795</v>
      </c>
    </row>
    <row r="2013" spans="1:4" x14ac:dyDescent="0.25">
      <c r="A2013" t="s">
        <v>12</v>
      </c>
      <c r="B2013" t="s">
        <v>6</v>
      </c>
      <c r="C2013">
        <v>79.391509999999997</v>
      </c>
      <c r="D2013" s="1">
        <v>42826</v>
      </c>
    </row>
    <row r="2014" spans="1:4" x14ac:dyDescent="0.25">
      <c r="A2014" t="s">
        <v>12</v>
      </c>
      <c r="B2014" t="s">
        <v>6</v>
      </c>
      <c r="C2014">
        <v>83.713740000000001</v>
      </c>
      <c r="D2014" s="1">
        <v>42856</v>
      </c>
    </row>
    <row r="2015" spans="1:4" x14ac:dyDescent="0.25">
      <c r="A2015" t="s">
        <v>12</v>
      </c>
      <c r="B2015" t="s">
        <v>6</v>
      </c>
      <c r="C2015">
        <v>85.548609999999996</v>
      </c>
      <c r="D2015" s="1">
        <v>42887</v>
      </c>
    </row>
    <row r="2016" spans="1:4" x14ac:dyDescent="0.25">
      <c r="A2016" t="s">
        <v>12</v>
      </c>
      <c r="B2016" t="s">
        <v>6</v>
      </c>
      <c r="C2016">
        <v>84.133290000000002</v>
      </c>
      <c r="D2016" s="1">
        <v>42917</v>
      </c>
    </row>
    <row r="2017" spans="1:4" x14ac:dyDescent="0.25">
      <c r="A2017" t="s">
        <v>12</v>
      </c>
      <c r="B2017" t="s">
        <v>6</v>
      </c>
      <c r="C2017">
        <v>85.763649999999998</v>
      </c>
      <c r="D2017" s="1">
        <v>42948</v>
      </c>
    </row>
    <row r="2018" spans="1:4" x14ac:dyDescent="0.25">
      <c r="A2018" t="s">
        <v>12</v>
      </c>
      <c r="B2018" t="s">
        <v>6</v>
      </c>
      <c r="C2018">
        <v>84.077839999999995</v>
      </c>
      <c r="D2018" s="1">
        <v>42979</v>
      </c>
    </row>
    <row r="2019" spans="1:4" x14ac:dyDescent="0.25">
      <c r="A2019" t="s">
        <v>12</v>
      </c>
      <c r="B2019" t="s">
        <v>6</v>
      </c>
      <c r="C2019">
        <v>85.088509999999999</v>
      </c>
      <c r="D2019" s="1">
        <v>43009</v>
      </c>
    </row>
    <row r="2020" spans="1:4" x14ac:dyDescent="0.25">
      <c r="A2020" t="s">
        <v>12</v>
      </c>
      <c r="B2020" t="s">
        <v>6</v>
      </c>
      <c r="C2020">
        <v>85.698700000000002</v>
      </c>
      <c r="D2020" s="1">
        <v>43040</v>
      </c>
    </row>
    <row r="2021" spans="1:4" x14ac:dyDescent="0.25">
      <c r="A2021" t="s">
        <v>12</v>
      </c>
      <c r="B2021" t="s">
        <v>6</v>
      </c>
      <c r="C2021">
        <v>93.091949999999997</v>
      </c>
      <c r="D2021" s="1">
        <v>43070</v>
      </c>
    </row>
    <row r="2022" spans="1:4" x14ac:dyDescent="0.25">
      <c r="A2022" t="s">
        <v>12</v>
      </c>
      <c r="B2022" t="s">
        <v>6</v>
      </c>
      <c r="C2022">
        <v>79.841620000000006</v>
      </c>
      <c r="D2022" s="1">
        <v>43101</v>
      </c>
    </row>
    <row r="2023" spans="1:4" x14ac:dyDescent="0.25">
      <c r="A2023" t="s">
        <v>12</v>
      </c>
      <c r="B2023" t="s">
        <v>6</v>
      </c>
      <c r="C2023">
        <v>75.20975</v>
      </c>
      <c r="D2023" s="1">
        <v>43132</v>
      </c>
    </row>
    <row r="2024" spans="1:4" x14ac:dyDescent="0.25">
      <c r="A2024" t="s">
        <v>12</v>
      </c>
      <c r="B2024" t="s">
        <v>6</v>
      </c>
      <c r="C2024">
        <v>83.448049999999995</v>
      </c>
      <c r="D2024" s="1">
        <v>43160</v>
      </c>
    </row>
    <row r="2025" spans="1:4" x14ac:dyDescent="0.25">
      <c r="A2025" t="s">
        <v>12</v>
      </c>
      <c r="B2025" t="s">
        <v>6</v>
      </c>
      <c r="C2025">
        <v>82.096190000000007</v>
      </c>
      <c r="D2025" s="1">
        <v>43191</v>
      </c>
    </row>
    <row r="2026" spans="1:4" x14ac:dyDescent="0.25">
      <c r="A2026" t="s">
        <v>12</v>
      </c>
      <c r="B2026" t="s">
        <v>6</v>
      </c>
      <c r="C2026">
        <v>82.117360000000005</v>
      </c>
      <c r="D2026" s="1">
        <v>43221</v>
      </c>
    </row>
    <row r="2027" spans="1:4" x14ac:dyDescent="0.25">
      <c r="A2027" t="s">
        <v>12</v>
      </c>
      <c r="B2027" t="s">
        <v>6</v>
      </c>
      <c r="C2027">
        <v>87.174819999999997</v>
      </c>
      <c r="D2027" s="1">
        <v>43252</v>
      </c>
    </row>
    <row r="2028" spans="1:4" x14ac:dyDescent="0.25">
      <c r="A2028" t="s">
        <v>12</v>
      </c>
      <c r="B2028" t="s">
        <v>6</v>
      </c>
      <c r="C2028">
        <v>85.311059999999998</v>
      </c>
      <c r="D2028" s="1">
        <v>43282</v>
      </c>
    </row>
    <row r="2029" spans="1:4" x14ac:dyDescent="0.25">
      <c r="A2029" t="s">
        <v>12</v>
      </c>
      <c r="B2029" t="s">
        <v>6</v>
      </c>
      <c r="C2029">
        <v>88.508920000000003</v>
      </c>
      <c r="D2029" s="1">
        <v>43313</v>
      </c>
    </row>
    <row r="2030" spans="1:4" x14ac:dyDescent="0.25">
      <c r="A2030" t="s">
        <v>12</v>
      </c>
      <c r="B2030" t="s">
        <v>6</v>
      </c>
      <c r="C2030">
        <v>87.130179999999996</v>
      </c>
      <c r="D2030" s="1">
        <v>43344</v>
      </c>
    </row>
    <row r="2031" spans="1:4" x14ac:dyDescent="0.25">
      <c r="A2031" t="s">
        <v>12</v>
      </c>
      <c r="B2031" t="s">
        <v>6</v>
      </c>
      <c r="C2031">
        <v>88.820430000000002</v>
      </c>
      <c r="D2031" s="1">
        <v>43374</v>
      </c>
    </row>
    <row r="2032" spans="1:4" x14ac:dyDescent="0.25">
      <c r="A2032" t="s">
        <v>12</v>
      </c>
      <c r="B2032" t="s">
        <v>6</v>
      </c>
      <c r="C2032">
        <v>89.925269999999998</v>
      </c>
      <c r="D2032" s="1">
        <v>43405</v>
      </c>
    </row>
    <row r="2033" spans="1:4" x14ac:dyDescent="0.25">
      <c r="A2033" t="s">
        <v>12</v>
      </c>
      <c r="B2033" t="s">
        <v>6</v>
      </c>
      <c r="C2033">
        <v>96.220100000000002</v>
      </c>
      <c r="D2033" s="1">
        <v>43435</v>
      </c>
    </row>
    <row r="2034" spans="1:4" x14ac:dyDescent="0.25">
      <c r="A2034" t="s">
        <v>12</v>
      </c>
      <c r="B2034" t="s">
        <v>6</v>
      </c>
      <c r="C2034">
        <v>83.471100000000007</v>
      </c>
      <c r="D2034" s="1">
        <v>43466</v>
      </c>
    </row>
    <row r="2035" spans="1:4" x14ac:dyDescent="0.25">
      <c r="A2035" t="s">
        <v>12</v>
      </c>
      <c r="B2035" t="s">
        <v>6</v>
      </c>
      <c r="C2035">
        <v>81.373580000000004</v>
      </c>
      <c r="D2035" s="1">
        <v>43497</v>
      </c>
    </row>
    <row r="2036" spans="1:4" x14ac:dyDescent="0.25">
      <c r="A2036" t="s">
        <v>12</v>
      </c>
      <c r="B2036" t="s">
        <v>6</v>
      </c>
      <c r="C2036">
        <v>84.604929999999996</v>
      </c>
      <c r="D2036" s="1">
        <v>43525</v>
      </c>
    </row>
    <row r="2037" spans="1:4" x14ac:dyDescent="0.25">
      <c r="A2037" t="s">
        <v>12</v>
      </c>
      <c r="B2037" t="s">
        <v>6</v>
      </c>
      <c r="C2037">
        <v>83.978350000000006</v>
      </c>
      <c r="D2037" s="1">
        <v>43556</v>
      </c>
    </row>
    <row r="2038" spans="1:4" x14ac:dyDescent="0.25">
      <c r="A2038" t="s">
        <v>12</v>
      </c>
      <c r="B2038" t="s">
        <v>6</v>
      </c>
      <c r="C2038">
        <v>88.950339999999997</v>
      </c>
      <c r="D2038" s="1">
        <v>43586</v>
      </c>
    </row>
    <row r="2039" spans="1:4" x14ac:dyDescent="0.25">
      <c r="A2039" t="s">
        <v>12</v>
      </c>
      <c r="B2039" t="s">
        <v>6</v>
      </c>
      <c r="C2039">
        <v>85.978819999999999</v>
      </c>
      <c r="D2039" s="1">
        <v>43617</v>
      </c>
    </row>
    <row r="2040" spans="1:4" x14ac:dyDescent="0.25">
      <c r="A2040" t="s">
        <v>12</v>
      </c>
      <c r="B2040" t="s">
        <v>6</v>
      </c>
      <c r="C2040">
        <v>88.264930000000007</v>
      </c>
      <c r="D2040" s="1">
        <v>43647</v>
      </c>
    </row>
    <row r="2041" spans="1:4" x14ac:dyDescent="0.25">
      <c r="A2041" t="s">
        <v>12</v>
      </c>
      <c r="B2041" t="s">
        <v>6</v>
      </c>
      <c r="C2041">
        <v>88.490539999999996</v>
      </c>
      <c r="D2041" s="1">
        <v>43678</v>
      </c>
    </row>
    <row r="2042" spans="1:4" x14ac:dyDescent="0.25">
      <c r="A2042" t="s">
        <v>12</v>
      </c>
      <c r="B2042" t="s">
        <v>6</v>
      </c>
      <c r="C2042">
        <v>90.254490000000004</v>
      </c>
      <c r="D2042" s="1">
        <v>43709</v>
      </c>
    </row>
    <row r="2043" spans="1:4" x14ac:dyDescent="0.25">
      <c r="A2043" t="s">
        <v>12</v>
      </c>
      <c r="B2043" t="s">
        <v>6</v>
      </c>
      <c r="C2043">
        <v>92.383319999999998</v>
      </c>
      <c r="D2043" s="1">
        <v>43739</v>
      </c>
    </row>
    <row r="2044" spans="1:4" x14ac:dyDescent="0.25">
      <c r="A2044" t="s">
        <v>12</v>
      </c>
      <c r="B2044" t="s">
        <v>6</v>
      </c>
      <c r="C2044">
        <v>91.607699999999994</v>
      </c>
      <c r="D2044" s="1">
        <v>43770</v>
      </c>
    </row>
    <row r="2045" spans="1:4" x14ac:dyDescent="0.25">
      <c r="A2045" t="s">
        <v>12</v>
      </c>
      <c r="B2045" t="s">
        <v>6</v>
      </c>
      <c r="C2045">
        <v>99.721400000000003</v>
      </c>
      <c r="D2045" s="1">
        <v>43800</v>
      </c>
    </row>
    <row r="2046" spans="1:4" x14ac:dyDescent="0.25">
      <c r="A2046" t="s">
        <v>12</v>
      </c>
      <c r="B2046" t="s">
        <v>6</v>
      </c>
      <c r="C2046">
        <v>86.204530000000005</v>
      </c>
      <c r="D2046" s="1">
        <v>43831</v>
      </c>
    </row>
    <row r="2047" spans="1:4" x14ac:dyDescent="0.25">
      <c r="A2047" t="s">
        <v>12</v>
      </c>
      <c r="B2047" t="s">
        <v>6</v>
      </c>
      <c r="C2047">
        <v>82.024029999999996</v>
      </c>
      <c r="D2047" s="1">
        <v>43862</v>
      </c>
    </row>
    <row r="2048" spans="1:4" x14ac:dyDescent="0.25">
      <c r="A2048" t="s">
        <v>12</v>
      </c>
      <c r="B2048" t="s">
        <v>6</v>
      </c>
      <c r="C2048">
        <v>82.970359999999999</v>
      </c>
      <c r="D2048" s="1">
        <v>43891</v>
      </c>
    </row>
    <row r="2049" spans="1:4" x14ac:dyDescent="0.25">
      <c r="A2049" t="s">
        <v>12</v>
      </c>
      <c r="B2049" t="s">
        <v>6</v>
      </c>
      <c r="C2049">
        <v>70.436139999999995</v>
      </c>
      <c r="D2049" s="1">
        <v>43922</v>
      </c>
    </row>
    <row r="2050" spans="1:4" x14ac:dyDescent="0.25">
      <c r="A2050" t="s">
        <v>12</v>
      </c>
      <c r="B2050" t="s">
        <v>6</v>
      </c>
      <c r="C2050">
        <v>71.076599999999999</v>
      </c>
      <c r="D2050" s="1">
        <v>43952</v>
      </c>
    </row>
    <row r="2051" spans="1:4" x14ac:dyDescent="0.25">
      <c r="A2051" t="s">
        <v>12</v>
      </c>
      <c r="B2051" t="s">
        <v>6</v>
      </c>
      <c r="C2051">
        <v>76.446950000000001</v>
      </c>
      <c r="D2051" s="1">
        <v>43983</v>
      </c>
    </row>
    <row r="2052" spans="1:4" x14ac:dyDescent="0.25">
      <c r="A2052" t="s">
        <v>12</v>
      </c>
      <c r="B2052" t="s">
        <v>6</v>
      </c>
      <c r="C2052">
        <v>78.72475</v>
      </c>
      <c r="D2052" s="1">
        <v>44013</v>
      </c>
    </row>
    <row r="2053" spans="1:4" x14ac:dyDescent="0.25">
      <c r="A2053" t="s">
        <v>12</v>
      </c>
      <c r="B2053" t="s">
        <v>6</v>
      </c>
      <c r="C2053">
        <v>79.874709999999993</v>
      </c>
      <c r="D2053" s="1">
        <v>44044</v>
      </c>
    </row>
    <row r="2054" spans="1:4" x14ac:dyDescent="0.25">
      <c r="A2054" t="s">
        <v>12</v>
      </c>
      <c r="B2054" t="s">
        <v>6</v>
      </c>
      <c r="C2054">
        <v>83.818449999999999</v>
      </c>
      <c r="D2054" s="1">
        <v>44075</v>
      </c>
    </row>
    <row r="2055" spans="1:4" x14ac:dyDescent="0.25">
      <c r="A2055" t="s">
        <v>12</v>
      </c>
      <c r="B2055" t="s">
        <v>6</v>
      </c>
      <c r="C2055">
        <v>85.429000000000002</v>
      </c>
      <c r="D2055" s="1">
        <v>44105</v>
      </c>
    </row>
    <row r="2056" spans="1:4" x14ac:dyDescent="0.25">
      <c r="A2056" t="s">
        <v>12</v>
      </c>
      <c r="B2056" t="s">
        <v>6</v>
      </c>
      <c r="C2056">
        <v>87.512230000000002</v>
      </c>
      <c r="D2056" s="1">
        <v>44136</v>
      </c>
    </row>
    <row r="2057" spans="1:4" x14ac:dyDescent="0.25">
      <c r="A2057" t="s">
        <v>12</v>
      </c>
      <c r="B2057" t="s">
        <v>6</v>
      </c>
      <c r="C2057">
        <v>96.230909999999994</v>
      </c>
      <c r="D2057" s="1">
        <v>44166</v>
      </c>
    </row>
    <row r="2058" spans="1:4" x14ac:dyDescent="0.25">
      <c r="A2058" t="s">
        <v>12</v>
      </c>
      <c r="B2058" t="s">
        <v>6</v>
      </c>
      <c r="C2058">
        <v>81.950059999999993</v>
      </c>
      <c r="D2058" s="1">
        <v>44197</v>
      </c>
    </row>
    <row r="2059" spans="1:4" x14ac:dyDescent="0.25">
      <c r="A2059" t="s">
        <v>12</v>
      </c>
      <c r="B2059" t="s">
        <v>6</v>
      </c>
      <c r="C2059">
        <v>81.415049999999994</v>
      </c>
      <c r="D2059" s="1">
        <v>44228</v>
      </c>
    </row>
    <row r="2060" spans="1:4" x14ac:dyDescent="0.25">
      <c r="A2060" t="s">
        <v>12</v>
      </c>
      <c r="B2060" t="s">
        <v>6</v>
      </c>
      <c r="C2060">
        <v>86.829819999999998</v>
      </c>
      <c r="D2060" s="1">
        <v>44256</v>
      </c>
    </row>
    <row r="2061" spans="1:4" x14ac:dyDescent="0.25">
      <c r="A2061" t="s">
        <v>12</v>
      </c>
      <c r="B2061" t="s">
        <v>6</v>
      </c>
      <c r="C2061">
        <v>85.031899999999993</v>
      </c>
      <c r="D2061" s="1">
        <v>44287</v>
      </c>
    </row>
    <row r="2062" spans="1:4" x14ac:dyDescent="0.25">
      <c r="A2062" t="s">
        <v>12</v>
      </c>
      <c r="B2062" t="s">
        <v>6</v>
      </c>
      <c r="C2062">
        <v>88.611320000000006</v>
      </c>
      <c r="D2062" s="1">
        <v>44317</v>
      </c>
    </row>
    <row r="2063" spans="1:4" x14ac:dyDescent="0.25">
      <c r="A2063" t="s">
        <v>12</v>
      </c>
      <c r="B2063" t="s">
        <v>6</v>
      </c>
      <c r="C2063">
        <v>91.852090000000004</v>
      </c>
      <c r="D2063" s="1">
        <v>44348</v>
      </c>
    </row>
    <row r="2064" spans="1:4" x14ac:dyDescent="0.25">
      <c r="A2064" t="s">
        <v>12</v>
      </c>
      <c r="B2064" t="s">
        <v>6</v>
      </c>
      <c r="C2064">
        <v>92.205560000000006</v>
      </c>
      <c r="D2064" s="1">
        <v>44378</v>
      </c>
    </row>
    <row r="2065" spans="1:4" x14ac:dyDescent="0.25">
      <c r="A2065" t="s">
        <v>12</v>
      </c>
      <c r="B2065" t="s">
        <v>6</v>
      </c>
      <c r="C2065">
        <v>94.031210000000002</v>
      </c>
      <c r="D2065" s="1">
        <v>44409</v>
      </c>
    </row>
    <row r="2066" spans="1:4" x14ac:dyDescent="0.25">
      <c r="A2066" t="s">
        <v>12</v>
      </c>
      <c r="B2066" t="s">
        <v>6</v>
      </c>
      <c r="C2066">
        <v>92.560550000000006</v>
      </c>
      <c r="D2066" s="1">
        <v>44440</v>
      </c>
    </row>
    <row r="2067" spans="1:4" x14ac:dyDescent="0.25">
      <c r="A2067" t="s">
        <v>12</v>
      </c>
      <c r="B2067" t="s">
        <v>6</v>
      </c>
      <c r="C2067">
        <v>92.243930000000006</v>
      </c>
      <c r="D2067" s="1">
        <v>44470</v>
      </c>
    </row>
    <row r="2068" spans="1:4" x14ac:dyDescent="0.25">
      <c r="A2068" t="s">
        <v>12</v>
      </c>
      <c r="B2068" t="s">
        <v>6</v>
      </c>
      <c r="C2068">
        <v>97.936199999999999</v>
      </c>
      <c r="D2068" s="1">
        <v>44501</v>
      </c>
    </row>
    <row r="2069" spans="1:4" x14ac:dyDescent="0.25">
      <c r="A2069" t="s">
        <v>12</v>
      </c>
      <c r="B2069" t="s">
        <v>6</v>
      </c>
      <c r="C2069">
        <v>109.55959</v>
      </c>
      <c r="D2069" s="1">
        <v>44531</v>
      </c>
    </row>
    <row r="2070" spans="1:4" x14ac:dyDescent="0.25">
      <c r="A2070" t="s">
        <v>12</v>
      </c>
      <c r="B2070" t="s">
        <v>6</v>
      </c>
      <c r="C2070">
        <v>91.866860000000003</v>
      </c>
      <c r="D2070" s="1">
        <v>44562</v>
      </c>
    </row>
    <row r="2071" spans="1:4" x14ac:dyDescent="0.25">
      <c r="A2071" t="s">
        <v>12</v>
      </c>
      <c r="B2071" t="s">
        <v>6</v>
      </c>
      <c r="C2071">
        <v>88.293620000000004</v>
      </c>
      <c r="D2071" s="1">
        <v>44593</v>
      </c>
    </row>
    <row r="2072" spans="1:4" x14ac:dyDescent="0.25">
      <c r="A2072" t="s">
        <v>12</v>
      </c>
      <c r="B2072" t="s">
        <v>6</v>
      </c>
      <c r="C2072">
        <v>98.323830000000001</v>
      </c>
      <c r="D2072" s="1">
        <v>44621</v>
      </c>
    </row>
    <row r="2073" spans="1:4" x14ac:dyDescent="0.25">
      <c r="A2073" t="s">
        <v>12</v>
      </c>
      <c r="B2073" t="s">
        <v>6</v>
      </c>
      <c r="C2073">
        <v>93.525689999999997</v>
      </c>
      <c r="D2073" s="1">
        <v>44652</v>
      </c>
    </row>
    <row r="2074" spans="1:4" x14ac:dyDescent="0.25">
      <c r="A2074" t="s">
        <v>12</v>
      </c>
      <c r="B2074" t="s">
        <v>6</v>
      </c>
      <c r="C2074">
        <v>98.064509999999999</v>
      </c>
      <c r="D2074" s="1">
        <v>44682</v>
      </c>
    </row>
    <row r="2075" spans="1:4" x14ac:dyDescent="0.25">
      <c r="A2075" t="s">
        <v>12</v>
      </c>
      <c r="B2075" t="s">
        <v>6</v>
      </c>
      <c r="C2075">
        <v>99.380170000000007</v>
      </c>
      <c r="D2075" s="1">
        <v>44713</v>
      </c>
    </row>
    <row r="2076" spans="1:4" x14ac:dyDescent="0.25">
      <c r="A2076" t="s">
        <v>12</v>
      </c>
      <c r="B2076" t="s">
        <v>6</v>
      </c>
      <c r="C2076">
        <v>99.807640000000006</v>
      </c>
      <c r="D2076" s="1">
        <v>44743</v>
      </c>
    </row>
    <row r="2077" spans="1:4" x14ac:dyDescent="0.25">
      <c r="A2077" t="s">
        <v>12</v>
      </c>
      <c r="B2077" t="s">
        <v>6</v>
      </c>
      <c r="C2077">
        <v>104.23665</v>
      </c>
      <c r="D2077" s="1">
        <v>44774</v>
      </c>
    </row>
    <row r="2078" spans="1:4" x14ac:dyDescent="0.25">
      <c r="A2078" t="s">
        <v>12</v>
      </c>
      <c r="B2078" t="s">
        <v>6</v>
      </c>
      <c r="C2078">
        <v>103.37774</v>
      </c>
      <c r="D2078" s="1">
        <v>44805</v>
      </c>
    </row>
    <row r="2079" spans="1:4" x14ac:dyDescent="0.25">
      <c r="A2079" t="s">
        <v>12</v>
      </c>
      <c r="B2079" t="s">
        <v>6</v>
      </c>
      <c r="C2079">
        <v>104.09349</v>
      </c>
      <c r="D2079" s="1">
        <v>44835</v>
      </c>
    </row>
    <row r="2080" spans="1:4" x14ac:dyDescent="0.25">
      <c r="A2080" t="s">
        <v>12</v>
      </c>
      <c r="B2080" t="s">
        <v>6</v>
      </c>
      <c r="C2080">
        <v>105.43322000000001</v>
      </c>
      <c r="D2080" s="1">
        <v>44866</v>
      </c>
    </row>
    <row r="2081" spans="1:4" x14ac:dyDescent="0.25">
      <c r="A2081" t="s">
        <v>12</v>
      </c>
      <c r="B2081" t="s">
        <v>6</v>
      </c>
      <c r="C2081">
        <v>113.59657</v>
      </c>
      <c r="D2081" s="1">
        <v>44896</v>
      </c>
    </row>
    <row r="2082" spans="1:4" x14ac:dyDescent="0.25">
      <c r="A2082" t="s">
        <v>12</v>
      </c>
      <c r="B2082" t="s">
        <v>6</v>
      </c>
      <c r="C2082">
        <v>94.398020000000002</v>
      </c>
      <c r="D2082" s="1">
        <v>44927</v>
      </c>
    </row>
    <row r="2083" spans="1:4" x14ac:dyDescent="0.25">
      <c r="A2083" t="s">
        <v>12</v>
      </c>
      <c r="B2083" t="s">
        <v>6</v>
      </c>
      <c r="C2083">
        <v>89.988129999999998</v>
      </c>
      <c r="D2083" s="1">
        <v>44958</v>
      </c>
    </row>
    <row r="2084" spans="1:4" x14ac:dyDescent="0.25">
      <c r="A2084" t="s">
        <v>12</v>
      </c>
      <c r="B2084" t="s">
        <v>6</v>
      </c>
      <c r="C2084">
        <v>102.06917</v>
      </c>
      <c r="D2084" s="1">
        <v>44986</v>
      </c>
    </row>
    <row r="2085" spans="1:4" x14ac:dyDescent="0.25">
      <c r="A2085" t="s">
        <v>12</v>
      </c>
      <c r="B2085" t="s">
        <v>6</v>
      </c>
      <c r="C2085">
        <v>93.549530000000004</v>
      </c>
      <c r="D2085" s="1">
        <v>45017</v>
      </c>
    </row>
    <row r="2086" spans="1:4" x14ac:dyDescent="0.25">
      <c r="A2086" t="s">
        <v>12</v>
      </c>
      <c r="B2086" t="s">
        <v>6</v>
      </c>
      <c r="C2086">
        <v>98.043049999999994</v>
      </c>
      <c r="D2086" s="1">
        <v>45047</v>
      </c>
    </row>
    <row r="2087" spans="1:4" x14ac:dyDescent="0.25">
      <c r="A2087" t="s">
        <v>12</v>
      </c>
      <c r="B2087" t="s">
        <v>6</v>
      </c>
      <c r="C2087">
        <v>98.944770000000005</v>
      </c>
      <c r="D2087" s="1">
        <v>45078</v>
      </c>
    </row>
    <row r="2088" spans="1:4" x14ac:dyDescent="0.25">
      <c r="A2088" t="s">
        <v>12</v>
      </c>
      <c r="B2088" t="s">
        <v>6</v>
      </c>
      <c r="C2088">
        <v>98.141469999999998</v>
      </c>
      <c r="D2088" s="1">
        <v>45108</v>
      </c>
    </row>
    <row r="2089" spans="1:4" x14ac:dyDescent="0.25">
      <c r="A2089" t="s">
        <v>12</v>
      </c>
      <c r="B2089" t="s">
        <v>6</v>
      </c>
      <c r="C2089">
        <v>101.15075</v>
      </c>
      <c r="D2089" s="1">
        <v>45139</v>
      </c>
    </row>
    <row r="2090" spans="1:4" x14ac:dyDescent="0.25">
      <c r="A2090" t="s">
        <v>12</v>
      </c>
      <c r="B2090" t="s">
        <v>6</v>
      </c>
      <c r="C2090">
        <v>98.59581</v>
      </c>
      <c r="D2090" s="1">
        <v>45170</v>
      </c>
    </row>
    <row r="2091" spans="1:4" x14ac:dyDescent="0.25">
      <c r="A2091" t="s">
        <v>12</v>
      </c>
      <c r="B2091" t="s">
        <v>6</v>
      </c>
      <c r="C2091">
        <v>100.62967999999999</v>
      </c>
      <c r="D2091" s="1">
        <v>45200</v>
      </c>
    </row>
    <row r="2092" spans="1:4" x14ac:dyDescent="0.25">
      <c r="A2092" t="s">
        <v>12</v>
      </c>
      <c r="B2092" t="s">
        <v>6</v>
      </c>
      <c r="C2092">
        <v>104.31301999999999</v>
      </c>
      <c r="D2092" s="1">
        <v>45231</v>
      </c>
    </row>
    <row r="2093" spans="1:4" x14ac:dyDescent="0.25">
      <c r="A2093" t="s">
        <v>12</v>
      </c>
      <c r="B2093" t="s">
        <v>6</v>
      </c>
      <c r="C2093">
        <v>111.80716</v>
      </c>
      <c r="D2093" s="1">
        <v>45261</v>
      </c>
    </row>
    <row r="2094" spans="1:4" x14ac:dyDescent="0.25">
      <c r="A2094" t="s">
        <v>12</v>
      </c>
      <c r="B2094" t="s">
        <v>6</v>
      </c>
      <c r="C2094">
        <v>98.955860000000001</v>
      </c>
      <c r="D2094" s="1">
        <v>45292</v>
      </c>
    </row>
    <row r="2095" spans="1:4" x14ac:dyDescent="0.25">
      <c r="A2095" t="s">
        <v>12</v>
      </c>
      <c r="B2095" t="s">
        <v>6</v>
      </c>
      <c r="C2095">
        <v>92.973479999999995</v>
      </c>
      <c r="D2095" s="1">
        <v>45323</v>
      </c>
    </row>
    <row r="2096" spans="1:4" x14ac:dyDescent="0.25">
      <c r="A2096" t="s">
        <v>12</v>
      </c>
      <c r="B2096" t="s">
        <v>6</v>
      </c>
      <c r="C2096">
        <v>101.46176</v>
      </c>
      <c r="D2096" s="1">
        <v>45352</v>
      </c>
    </row>
    <row r="2097" spans="1:4" x14ac:dyDescent="0.25">
      <c r="A2097" t="s">
        <v>12</v>
      </c>
      <c r="B2097" t="s">
        <v>6</v>
      </c>
      <c r="C2097">
        <v>100.33358</v>
      </c>
      <c r="D2097" s="1">
        <v>45383</v>
      </c>
    </row>
    <row r="2098" spans="1:4" x14ac:dyDescent="0.25">
      <c r="A2098" t="s">
        <v>12</v>
      </c>
      <c r="B2098" t="s">
        <v>6</v>
      </c>
      <c r="C2098">
        <v>100.75049</v>
      </c>
      <c r="D2098" s="1">
        <v>45413</v>
      </c>
    </row>
    <row r="2099" spans="1:4" x14ac:dyDescent="0.25">
      <c r="A2099" t="s">
        <v>12</v>
      </c>
      <c r="B2099" t="s">
        <v>6</v>
      </c>
      <c r="C2099">
        <v>103.16072</v>
      </c>
      <c r="D2099" s="1">
        <v>45444</v>
      </c>
    </row>
    <row r="2100" spans="1:4" x14ac:dyDescent="0.25">
      <c r="A2100" t="s">
        <v>12</v>
      </c>
      <c r="B2100" t="s">
        <v>6</v>
      </c>
      <c r="C2100">
        <v>104.67048</v>
      </c>
      <c r="D2100" s="1">
        <v>45474</v>
      </c>
    </row>
    <row r="2101" spans="1:4" x14ac:dyDescent="0.25">
      <c r="A2101" t="s">
        <v>12</v>
      </c>
      <c r="B2101" t="s">
        <v>6</v>
      </c>
      <c r="C2101">
        <v>105.33899</v>
      </c>
      <c r="D2101" s="1">
        <v>45505</v>
      </c>
    </row>
    <row r="2102" spans="1:4" x14ac:dyDescent="0.25">
      <c r="A2102" t="s">
        <v>12</v>
      </c>
      <c r="B2102" t="s">
        <v>6</v>
      </c>
      <c r="C2102">
        <v>104.89839000000001</v>
      </c>
      <c r="D2102" s="1">
        <v>45536</v>
      </c>
    </row>
    <row r="2103" spans="1:4" x14ac:dyDescent="0.25">
      <c r="A2103" t="s">
        <v>12</v>
      </c>
      <c r="B2103" t="s">
        <v>6</v>
      </c>
      <c r="C2103">
        <v>108.92171</v>
      </c>
      <c r="D2103" s="1">
        <v>45566</v>
      </c>
    </row>
    <row r="2104" spans="1:4" x14ac:dyDescent="0.25">
      <c r="A2104" t="s">
        <v>12</v>
      </c>
      <c r="B2104" t="s">
        <v>6</v>
      </c>
      <c r="C2104">
        <v>108.23779</v>
      </c>
      <c r="D2104" s="1">
        <v>45597</v>
      </c>
    </row>
    <row r="2105" spans="1:4" x14ac:dyDescent="0.25">
      <c r="A2105" t="s">
        <v>12</v>
      </c>
      <c r="B2105" t="s">
        <v>6</v>
      </c>
      <c r="C2105">
        <v>115.3305</v>
      </c>
      <c r="D2105" s="1">
        <v>45627</v>
      </c>
    </row>
    <row r="2106" spans="1:4" x14ac:dyDescent="0.25">
      <c r="A2106" t="s">
        <v>12</v>
      </c>
      <c r="B2106" t="s">
        <v>6</v>
      </c>
      <c r="C2106">
        <v>102.03033000000001</v>
      </c>
      <c r="D2106" s="1">
        <v>45658</v>
      </c>
    </row>
    <row r="2107" spans="1:4" x14ac:dyDescent="0.25">
      <c r="A2107" t="s">
        <v>12</v>
      </c>
      <c r="B2107" t="s">
        <v>6</v>
      </c>
      <c r="C2107">
        <v>98.340590000000006</v>
      </c>
      <c r="D2107" s="1">
        <v>45689</v>
      </c>
    </row>
    <row r="2108" spans="1:4" x14ac:dyDescent="0.25">
      <c r="A2108" t="s">
        <v>12</v>
      </c>
      <c r="B2108" t="s">
        <v>6</v>
      </c>
      <c r="C2108">
        <v>103.71921</v>
      </c>
      <c r="D2108" s="1">
        <v>45717</v>
      </c>
    </row>
    <row r="2109" spans="1:4" x14ac:dyDescent="0.25">
      <c r="A2109" t="s">
        <v>12</v>
      </c>
      <c r="B2109" t="s">
        <v>6</v>
      </c>
      <c r="C2109">
        <v>103.17384</v>
      </c>
      <c r="D2109" s="1">
        <v>45748</v>
      </c>
    </row>
    <row r="2110" spans="1:4" x14ac:dyDescent="0.25">
      <c r="A2110" t="s">
        <v>12</v>
      </c>
      <c r="B2110" t="s">
        <v>6</v>
      </c>
      <c r="C2110">
        <v>106.84707</v>
      </c>
      <c r="D2110" s="1">
        <v>45778</v>
      </c>
    </row>
    <row r="2111" spans="1:4" x14ac:dyDescent="0.25">
      <c r="A2111" t="s">
        <v>12</v>
      </c>
      <c r="B2111" t="s">
        <v>6</v>
      </c>
      <c r="C2111">
        <v>107.59963999999999</v>
      </c>
      <c r="D2111" s="1">
        <v>45809</v>
      </c>
    </row>
    <row r="2112" spans="1:4" x14ac:dyDescent="0.25">
      <c r="A2112" t="s">
        <v>12</v>
      </c>
      <c r="B2112" t="s">
        <v>6</v>
      </c>
      <c r="C2112">
        <v>111.14796</v>
      </c>
      <c r="D2112" s="1">
        <v>45839</v>
      </c>
    </row>
    <row r="2113" spans="1:4" x14ac:dyDescent="0.25">
      <c r="A2113" t="s">
        <v>12</v>
      </c>
      <c r="B2113" t="s">
        <v>6</v>
      </c>
      <c r="C2113">
        <v>109.56113000000001</v>
      </c>
      <c r="D2113" s="1">
        <v>45870</v>
      </c>
    </row>
  </sheetData>
  <autoFilter ref="A1:D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base-pms_spbrasil</vt:lpstr>
      <vt:lpstr>Mês;Ano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2025-11-28T23:59:07Z</dcterms:created>
  <dcterms:modified xsi:type="dcterms:W3CDTF">2025-11-29T00:40:08Z</dcterms:modified>
</cp:coreProperties>
</file>